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apers please\"/>
    </mc:Choice>
  </mc:AlternateContent>
  <xr:revisionPtr revIDLastSave="0" documentId="13_ncr:1_{5075BB2E-450B-46AD-A646-3FAA0A1DD3D3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yoy cc data" sheetId="1" r:id="rId1"/>
    <sheet name="refined" sheetId="2" r:id="rId2"/>
    <sheet name="Sheet1" sheetId="5" r:id="rId3"/>
    <sheet name="yoy dc data" sheetId="3" r:id="rId4"/>
    <sheet name="refined2" sheetId="4" r:id="rId5"/>
    <sheet name="Sheet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6" l="1"/>
  <c r="K13" i="6"/>
  <c r="K11" i="6"/>
  <c r="E37" i="5" l="1"/>
  <c r="F37" i="5"/>
  <c r="F36" i="5"/>
  <c r="E36" i="5"/>
  <c r="M57" i="4"/>
  <c r="M56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22" i="4"/>
  <c r="AG27" i="3"/>
  <c r="AG26" i="3"/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3" i="3"/>
  <c r="F16" i="2"/>
  <c r="F17" i="2"/>
  <c r="D7" i="2"/>
  <c r="D3" i="2"/>
  <c r="I15" i="3"/>
  <c r="I16" i="3"/>
  <c r="I17" i="3"/>
  <c r="I14" i="3"/>
  <c r="I12" i="3"/>
  <c r="I13" i="3"/>
  <c r="I11" i="3"/>
  <c r="I4" i="3"/>
  <c r="I5" i="3"/>
  <c r="I6" i="3"/>
  <c r="I7" i="3"/>
  <c r="I8" i="3"/>
  <c r="I9" i="3"/>
  <c r="I10" i="3"/>
  <c r="I3" i="3"/>
  <c r="B32" i="1"/>
  <c r="B28" i="1"/>
  <c r="B29" i="1"/>
  <c r="B30" i="1"/>
  <c r="B31" i="1"/>
  <c r="B19" i="1"/>
  <c r="B20" i="1"/>
  <c r="B21" i="1"/>
  <c r="B22" i="1"/>
  <c r="B23" i="1"/>
  <c r="B24" i="1"/>
  <c r="B25" i="1"/>
  <c r="B26" i="1"/>
  <c r="B27" i="1"/>
  <c r="B18" i="1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11" i="2"/>
  <c r="D12" i="2"/>
  <c r="D13" i="2"/>
  <c r="D14" i="2"/>
  <c r="D15" i="2"/>
  <c r="D16" i="2"/>
  <c r="D17" i="2"/>
  <c r="D10" i="2"/>
  <c r="D8" i="2"/>
  <c r="D9" i="2"/>
  <c r="D4" i="2"/>
  <c r="D5" i="2"/>
  <c r="D6" i="2"/>
</calcChain>
</file>

<file path=xl/sharedStrings.xml><?xml version="1.0" encoding="utf-8"?>
<sst xmlns="http://schemas.openxmlformats.org/spreadsheetml/2006/main" count="213" uniqueCount="61">
  <si>
    <t>YEARS</t>
  </si>
  <si>
    <t>PoS VOLUME</t>
  </si>
  <si>
    <t>PoS VALUE (in 000s)</t>
  </si>
  <si>
    <t>millions</t>
  </si>
  <si>
    <t>lakhs</t>
  </si>
  <si>
    <t>thousands</t>
  </si>
  <si>
    <t>PoS VALUE (in Rs. crores)</t>
  </si>
  <si>
    <t>PoS VOLUME (in actuals)</t>
  </si>
  <si>
    <t>Years</t>
  </si>
  <si>
    <t>Debit card payments volume PoS</t>
  </si>
  <si>
    <t>Debit card payments value PoS</t>
  </si>
  <si>
    <t>Debit card payments value PoS (Rs crores)</t>
  </si>
  <si>
    <t>Debit card payments volume PoS (in actuals)</t>
  </si>
  <si>
    <t>logy</t>
  </si>
  <si>
    <t>time</t>
  </si>
  <si>
    <t>intervention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</si>
  <si>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</si>
  <si>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</si>
  <si>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</si>
  <si>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</si>
  <si>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</si>
  <si>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</si>
  <si>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</si>
  <si>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</si>
  <si>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</si>
  <si>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</si>
  <si>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</si>
  <si>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</si>
  <si>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</si>
  <si>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</si>
  <si>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</si>
  <si>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</si>
  <si>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</si>
  <si>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</si>
  <si>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</si>
  <si>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</si>
  <si>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</si>
  <si>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</si>
  <si>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</si>
  <si>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</si>
  <si>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We also find that there has been a shift in the debit card usage pattern.</t>
  </si>
  <si>
    <t>Since 2019, the widespread adoption of UPI alongwith the growth in e-commerce "online shopping" fuelled by credit cards have led to a fall in debit card usage. We notice a 3% annualised reduction since 2019 as is shown by the graph.</t>
  </si>
  <si>
    <t>log y</t>
  </si>
  <si>
    <t>cc</t>
  </si>
  <si>
    <t>Debit card transactions value PoS (Rs crores)</t>
  </si>
  <si>
    <t>Credit card transaction value  PoS (Rs crores)</t>
  </si>
  <si>
    <t>pooled</t>
  </si>
  <si>
    <t>before</t>
  </si>
  <si>
    <t>after</t>
  </si>
  <si>
    <t>index</t>
  </si>
  <si>
    <t>SSRp</t>
  </si>
  <si>
    <t>SSR1</t>
  </si>
  <si>
    <t>SSR2</t>
  </si>
  <si>
    <t>n1</t>
  </si>
  <si>
    <t>n2</t>
  </si>
  <si>
    <t>k</t>
  </si>
  <si>
    <t>p value</t>
  </si>
  <si>
    <t>f stat</t>
  </si>
  <si>
    <t>crit f value</t>
  </si>
  <si>
    <t>failed to reject H0(struc break)</t>
  </si>
  <si>
    <t>hence there is presence of struc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</si>
</sst>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&quot;Bookman Old Style&quot;"/>
    </font>
    <font>
      <b/>
      <sz val="10"/>
      <color theme="1"/>
      <name val="Arial"/>
      <family val="2"/>
    </font>
    <font>
      <b/>
      <sz val="8"/>
      <color rgb="FF000000"/>
      <name val="&quot;Bookman Old Style&quot;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7"/>
      <name val="Arial"/>
      <family val="2"/>
    </font>
    <font>
      <b/>
      <sz val="10"/>
      <color theme="9"/>
      <name val="Arial"/>
      <family val="2"/>
    </font>
    <font>
      <b/>
      <sz val="10"/>
      <color theme="9"/>
      <name val="&quot;Bookman Old Style&quot;"/>
    </font>
    <font>
      <sz val="10"/>
      <color theme="9"/>
      <name val="Arial"/>
      <family val="2"/>
    </font>
    <font>
      <sz val="10"/>
      <name val="Arial"/>
      <family val="2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/>
  </cellStyleXfs>
  <cellXfs count="65">
    <xf numFmtId="0" fontId="0" fillId="0" borderId="0" xfId="0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1" fillId="0" borderId="0" xfId="0" applyFont="1"/>
    <xf numFmtId="1" fontId="3" fillId="2" borderId="1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 vertical="top"/>
    </xf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vertical="top"/>
    </xf>
    <xf numFmtId="0" fontId="8" fillId="0" borderId="0" xfId="0" applyFont="1"/>
    <xf numFmtId="0" fontId="9" fillId="0" borderId="0" xfId="0" applyFont="1"/>
    <xf numFmtId="1" fontId="10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>
      <alignment horizontal="right"/>
    </xf>
    <xf numFmtId="1" fontId="13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>
      <alignment horizontal="right" vertical="top"/>
    </xf>
    <xf numFmtId="1" fontId="14" fillId="2" borderId="1" xfId="0" applyNumberFormat="1" applyFont="1" applyFill="1" applyBorder="1" applyAlignment="1">
      <alignment horizontal="right"/>
    </xf>
    <xf numFmtId="2" fontId="9" fillId="0" borderId="0" xfId="0" applyNumberFormat="1" applyFont="1"/>
    <xf numFmtId="1" fontId="3" fillId="4" borderId="5" xfId="0" applyNumberFormat="1" applyFont="1" applyFill="1" applyBorder="1" applyAlignment="1">
      <alignment horizontal="right"/>
    </xf>
    <xf numFmtId="0" fontId="9" fillId="3" borderId="7" xfId="0" applyFont="1" applyFill="1" applyBorder="1"/>
    <xf numFmtId="1" fontId="4" fillId="4" borderId="5" xfId="0" applyNumberFormat="1" applyFont="1" applyFill="1" applyBorder="1" applyAlignment="1">
      <alignment horizontal="right" vertical="top"/>
    </xf>
    <xf numFmtId="1" fontId="5" fillId="4" borderId="5" xfId="0" applyNumberFormat="1" applyFont="1" applyFill="1" applyBorder="1" applyAlignment="1">
      <alignment horizontal="right"/>
    </xf>
    <xf numFmtId="1" fontId="4" fillId="4" borderId="5" xfId="0" applyNumberFormat="1" applyFont="1" applyFill="1" applyBorder="1" applyAlignment="1">
      <alignment horizontal="right"/>
    </xf>
    <xf numFmtId="1" fontId="4" fillId="4" borderId="9" xfId="0" applyNumberFormat="1" applyFont="1" applyFill="1" applyBorder="1" applyAlignment="1">
      <alignment horizontal="right"/>
    </xf>
    <xf numFmtId="0" fontId="9" fillId="3" borderId="10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4" xfId="0" applyFont="1" applyFill="1" applyBorder="1" applyAlignment="1">
      <alignment wrapText="1"/>
    </xf>
    <xf numFmtId="0" fontId="9" fillId="6" borderId="6" xfId="0" applyFont="1" applyFill="1" applyBorder="1"/>
    <xf numFmtId="0" fontId="9" fillId="6" borderId="8" xfId="0" applyFont="1" applyFill="1" applyBorder="1"/>
    <xf numFmtId="0" fontId="15" fillId="7" borderId="5" xfId="1" applyFill="1" applyBorder="1"/>
    <xf numFmtId="0" fontId="6" fillId="8" borderId="5" xfId="0" applyFont="1" applyFill="1" applyBorder="1" applyAlignment="1">
      <alignment horizontal="right" vertical="top"/>
    </xf>
    <xf numFmtId="1" fontId="16" fillId="8" borderId="5" xfId="0" applyNumberFormat="1" applyFont="1" applyFill="1" applyBorder="1"/>
    <xf numFmtId="0" fontId="17" fillId="8" borderId="5" xfId="0" applyFont="1" applyFill="1" applyBorder="1"/>
    <xf numFmtId="1" fontId="18" fillId="8" borderId="5" xfId="2" applyNumberFormat="1" applyFont="1" applyFill="1" applyBorder="1"/>
    <xf numFmtId="1" fontId="6" fillId="8" borderId="5" xfId="0" applyNumberFormat="1" applyFont="1" applyFill="1" applyBorder="1" applyAlignment="1">
      <alignment horizontal="right" vertical="center"/>
    </xf>
    <xf numFmtId="1" fontId="18" fillId="8" borderId="5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1" fontId="6" fillId="9" borderId="5" xfId="0" applyNumberFormat="1" applyFont="1" applyFill="1" applyBorder="1" applyAlignment="1">
      <alignment horizontal="right" vertical="center"/>
    </xf>
    <xf numFmtId="1" fontId="18" fillId="9" borderId="5" xfId="0" applyNumberFormat="1" applyFont="1" applyFill="1" applyBorder="1" applyAlignment="1">
      <alignment horizontal="right" vertical="center"/>
    </xf>
    <xf numFmtId="0" fontId="0" fillId="9" borderId="0" xfId="0" applyFill="1"/>
    <xf numFmtId="0" fontId="0" fillId="10" borderId="0" xfId="0" applyFill="1"/>
    <xf numFmtId="0" fontId="15" fillId="11" borderId="5" xfId="1" applyFill="1" applyBorder="1"/>
    <xf numFmtId="2" fontId="6" fillId="11" borderId="5" xfId="0" applyNumberFormat="1" applyFont="1" applyFill="1" applyBorder="1" applyAlignment="1">
      <alignment horizontal="right" vertical="top"/>
    </xf>
    <xf numFmtId="0" fontId="0" fillId="11" borderId="0" xfId="0" applyFill="1"/>
    <xf numFmtId="1" fontId="18" fillId="11" borderId="5" xfId="2" applyNumberFormat="1" applyFont="1" applyFill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Fill="1" applyBorder="1" applyAlignment="1"/>
    <xf numFmtId="0" fontId="0" fillId="0" borderId="14" xfId="0" applyFill="1" applyBorder="1" applyAlignment="1"/>
    <xf numFmtId="0" fontId="19" fillId="0" borderId="16" xfId="0" applyFont="1" applyFill="1" applyBorder="1" applyAlignment="1">
      <alignment horizontal="center"/>
    </xf>
    <xf numFmtId="0" fontId="19" fillId="0" borderId="16" xfId="0" applyFont="1" applyFill="1" applyBorder="1" applyAlignment="1">
      <alignment horizontal="centerContinuous"/>
    </xf>
    <xf numFmtId="0" fontId="0" fillId="0" borderId="0" xfId="0" applyBorder="1" applyAlignment="1">
      <alignment vertical="center" wrapText="1"/>
    </xf>
    <xf numFmtId="0" fontId="0" fillId="9" borderId="14" xfId="0" applyFill="1" applyBorder="1" applyAlignment="1">
      <alignment horizontal="center"/>
    </xf>
    <xf numFmtId="0" fontId="0" fillId="0" borderId="0" xfId="0" applyFill="1" applyBorder="1"/>
  </cellXfs>
  <cellStyles count="3">
    <cellStyle name="Normal" xfId="0" builtinId="0"/>
    <cellStyle name="Normal 134" xfId="1" xr:uid="{A4F434E4-CC4A-4171-AF9C-0A849C4C040C}"/>
    <cellStyle name="Normal 2 2" xfId="2" xr:uid="{DA44F1BE-6B7F-4F03-9A75-960C28898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cc data'!$N$3</c:f>
              <c:strCache>
                <c:ptCount val="1"/>
                <c:pt idx="0">
                  <c:v>PoS 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'yoy cc data'!$M$4:$M$18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'yoy cc data'!$N$4:$N$18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4-4BF8-95FC-28224A2B4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53135"/>
        <c:axId val="1411153551"/>
      </c:lineChart>
      <c:catAx>
        <c:axId val="141115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53551"/>
        <c:crosses val="autoZero"/>
        <c:auto val="1"/>
        <c:lblAlgn val="ctr"/>
        <c:lblOffset val="100"/>
        <c:noMultiLvlLbl val="0"/>
      </c:catAx>
      <c:valAx>
        <c:axId val="141115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5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Credit Card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refined!$I$2</c:f>
              <c:strCache>
                <c:ptCount val="1"/>
                <c:pt idx="0">
                  <c:v>PoS VOLUME (in actuals)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refined!$I$3:$I$17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7-4F98-B12C-374B2F55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443823"/>
        <c:axId val="1573444239"/>
      </c:barChart>
      <c:lineChart>
        <c:grouping val="standard"/>
        <c:varyColors val="0"/>
        <c:ser>
          <c:idx val="2"/>
          <c:order val="1"/>
          <c:tx>
            <c:strRef>
              <c:f>refined!$J$2</c:f>
              <c:strCache>
                <c:ptCount val="1"/>
                <c:pt idx="0">
                  <c:v>PoS VALUE (in Rs. crores)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refined!$J$3:$J$17</c:f>
              <c:numCache>
                <c:formatCode>General</c:formatCode>
                <c:ptCount val="15"/>
                <c:pt idx="0">
                  <c:v>7471.76</c:v>
                </c:pt>
                <c:pt idx="1">
                  <c:v>9874.5600000000013</c:v>
                </c:pt>
                <c:pt idx="2">
                  <c:v>12541.013000000001</c:v>
                </c:pt>
                <c:pt idx="3">
                  <c:v>15266.798000000001</c:v>
                </c:pt>
                <c:pt idx="4">
                  <c:v>19611.195</c:v>
                </c:pt>
                <c:pt idx="5">
                  <c:v>24341.415000000001</c:v>
                </c:pt>
                <c:pt idx="6">
                  <c:v>33929.740000000005</c:v>
                </c:pt>
                <c:pt idx="7">
                  <c:v>47762.5</c:v>
                </c:pt>
                <c:pt idx="8">
                  <c:v>59616.39</c:v>
                </c:pt>
                <c:pt idx="9">
                  <c:v>45567.64</c:v>
                </c:pt>
                <c:pt idx="10">
                  <c:v>74884.67</c:v>
                </c:pt>
                <c:pt idx="11">
                  <c:v>41766.618999999999</c:v>
                </c:pt>
                <c:pt idx="12">
                  <c:v>49789.427799999998</c:v>
                </c:pt>
                <c:pt idx="13">
                  <c:v>62284.086199999998</c:v>
                </c:pt>
                <c:pt idx="14">
                  <c:v>70380.311300000001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67-4F98-B12C-374B2F55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833136"/>
        <c:axId val="2045837296"/>
      </c:lineChart>
      <c:catAx>
        <c:axId val="157344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44239"/>
        <c:crosses val="autoZero"/>
        <c:auto val="1"/>
        <c:lblAlgn val="ctr"/>
        <c:lblOffset val="100"/>
        <c:noMultiLvlLbl val="0"/>
      </c:catAx>
      <c:valAx>
        <c:axId val="157344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43823"/>
        <c:crosses val="autoZero"/>
        <c:crossBetween val="between"/>
      </c:valAx>
      <c:valAx>
        <c:axId val="2045837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833136"/>
        <c:crosses val="max"/>
        <c:crossBetween val="between"/>
      </c:valAx>
      <c:catAx>
        <c:axId val="2045833136"/>
        <c:scaling>
          <c:orientation val="minMax"/>
        </c:scaling>
        <c:delete val="1"/>
        <c:axPos val="b"/>
        <c:majorTickMark val="out"/>
        <c:minorTickMark val="none"/>
        <c:tickLblPos val="nextTo"/>
        <c:crossAx val="2045837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refined!$I$2</c:f>
              <c:strCache>
                <c:ptCount val="1"/>
                <c:pt idx="0">
                  <c:v>PoS VOLUME (in actuals)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refined!$I$3:$I$17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E-47D1-85A7-F551520C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3985487"/>
        <c:axId val="1363987983"/>
      </c:barChart>
      <c:lineChart>
        <c:grouping val="standard"/>
        <c:varyColors val="0"/>
        <c:ser>
          <c:idx val="1"/>
          <c:order val="1"/>
          <c:tx>
            <c:strRef>
              <c:f>refined!$J$2</c:f>
              <c:strCache>
                <c:ptCount val="1"/>
                <c:pt idx="0">
                  <c:v>PoS VALUE (in Rs. crores)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refined!$J$3:$J$17</c:f>
              <c:numCache>
                <c:formatCode>General</c:formatCode>
                <c:ptCount val="15"/>
                <c:pt idx="0">
                  <c:v>7471.76</c:v>
                </c:pt>
                <c:pt idx="1">
                  <c:v>9874.5600000000013</c:v>
                </c:pt>
                <c:pt idx="2">
                  <c:v>12541.013000000001</c:v>
                </c:pt>
                <c:pt idx="3">
                  <c:v>15266.798000000001</c:v>
                </c:pt>
                <c:pt idx="4">
                  <c:v>19611.195</c:v>
                </c:pt>
                <c:pt idx="5">
                  <c:v>24341.415000000001</c:v>
                </c:pt>
                <c:pt idx="6">
                  <c:v>33929.740000000005</c:v>
                </c:pt>
                <c:pt idx="7">
                  <c:v>47762.5</c:v>
                </c:pt>
                <c:pt idx="8">
                  <c:v>59616.39</c:v>
                </c:pt>
                <c:pt idx="9">
                  <c:v>45567.64</c:v>
                </c:pt>
                <c:pt idx="10">
                  <c:v>74884.67</c:v>
                </c:pt>
                <c:pt idx="11">
                  <c:v>41766.618999999999</c:v>
                </c:pt>
                <c:pt idx="12">
                  <c:v>49789.427799999998</c:v>
                </c:pt>
                <c:pt idx="13">
                  <c:v>62284.086199999998</c:v>
                </c:pt>
                <c:pt idx="14">
                  <c:v>70380.311300000001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0E-47D1-85A7-F551520C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9622895"/>
        <c:axId val="1359623727"/>
      </c:lineChart>
      <c:catAx>
        <c:axId val="136398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87983"/>
        <c:crosses val="autoZero"/>
        <c:auto val="1"/>
        <c:lblAlgn val="ctr"/>
        <c:lblOffset val="100"/>
        <c:noMultiLvlLbl val="0"/>
      </c:catAx>
      <c:valAx>
        <c:axId val="136398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85487"/>
        <c:crosses val="autoZero"/>
        <c:crossBetween val="between"/>
      </c:valAx>
      <c:valAx>
        <c:axId val="13596237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22895"/>
        <c:crosses val="max"/>
        <c:crossBetween val="between"/>
      </c:valAx>
      <c:catAx>
        <c:axId val="1359622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9623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refined!$I$2</c:f>
              <c:strCache>
                <c:ptCount val="1"/>
                <c:pt idx="0">
                  <c:v>PoS VOLUME (in actuals)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refined!$I$3:$I$17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D-4B53-880B-43E4885AA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3088192"/>
        <c:axId val="2053089024"/>
      </c:barChart>
      <c:lineChart>
        <c:grouping val="standard"/>
        <c:varyColors val="0"/>
        <c:ser>
          <c:idx val="1"/>
          <c:order val="1"/>
          <c:tx>
            <c:strRef>
              <c:f>refined!$J$2</c:f>
              <c:strCache>
                <c:ptCount val="1"/>
                <c:pt idx="0">
                  <c:v>PoS VALUE (in Rs. crores)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refined!$J$3:$J$17</c:f>
              <c:numCache>
                <c:formatCode>General</c:formatCode>
                <c:ptCount val="15"/>
                <c:pt idx="0">
                  <c:v>7471.76</c:v>
                </c:pt>
                <c:pt idx="1">
                  <c:v>9874.5600000000013</c:v>
                </c:pt>
                <c:pt idx="2">
                  <c:v>12541.013000000001</c:v>
                </c:pt>
                <c:pt idx="3">
                  <c:v>15266.798000000001</c:v>
                </c:pt>
                <c:pt idx="4">
                  <c:v>19611.195</c:v>
                </c:pt>
                <c:pt idx="5">
                  <c:v>24341.415000000001</c:v>
                </c:pt>
                <c:pt idx="6">
                  <c:v>33929.740000000005</c:v>
                </c:pt>
                <c:pt idx="7">
                  <c:v>47762.5</c:v>
                </c:pt>
                <c:pt idx="8">
                  <c:v>59616.39</c:v>
                </c:pt>
                <c:pt idx="9">
                  <c:v>45567.64</c:v>
                </c:pt>
                <c:pt idx="10">
                  <c:v>74884.67</c:v>
                </c:pt>
                <c:pt idx="11">
                  <c:v>41766.618999999999</c:v>
                </c:pt>
                <c:pt idx="12">
                  <c:v>49789.427799999998</c:v>
                </c:pt>
                <c:pt idx="13">
                  <c:v>62284.086199999998</c:v>
                </c:pt>
                <c:pt idx="14">
                  <c:v>70380.311300000001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4D-4B53-880B-43E4885AA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73888"/>
        <c:axId val="27872640"/>
      </c:lineChart>
      <c:catAx>
        <c:axId val="205308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89024"/>
        <c:crosses val="autoZero"/>
        <c:auto val="1"/>
        <c:lblAlgn val="ctr"/>
        <c:lblOffset val="100"/>
        <c:noMultiLvlLbl val="0"/>
      </c:catAx>
      <c:valAx>
        <c:axId val="205308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88192"/>
        <c:crosses val="autoZero"/>
        <c:crossBetween val="between"/>
      </c:valAx>
      <c:valAx>
        <c:axId val="27872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3888"/>
        <c:crosses val="max"/>
        <c:crossBetween val="between"/>
      </c:valAx>
      <c:catAx>
        <c:axId val="27873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72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Credit card vs Debit card transaction value at PoS (in crores)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Sheet1!$K$4</c:f>
              <c:strCache>
                <c:ptCount val="1"/>
                <c:pt idx="0">
                  <c:v>Credit card transaction value  PoS (Rs crores)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Sheet1!$J$5:$J$19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Sheet1!$K$5:$K$19</c:f>
              <c:numCache>
                <c:formatCode>General</c:formatCode>
                <c:ptCount val="15"/>
                <c:pt idx="0">
                  <c:v>7471.76</c:v>
                </c:pt>
                <c:pt idx="1">
                  <c:v>9874.5600000000013</c:v>
                </c:pt>
                <c:pt idx="2">
                  <c:v>12541.013000000001</c:v>
                </c:pt>
                <c:pt idx="3">
                  <c:v>15266.798000000001</c:v>
                </c:pt>
                <c:pt idx="4">
                  <c:v>19611.195</c:v>
                </c:pt>
                <c:pt idx="5">
                  <c:v>24341.415000000001</c:v>
                </c:pt>
                <c:pt idx="6">
                  <c:v>33929.740000000005</c:v>
                </c:pt>
                <c:pt idx="7">
                  <c:v>47762.5</c:v>
                </c:pt>
                <c:pt idx="8">
                  <c:v>59616.39</c:v>
                </c:pt>
                <c:pt idx="9">
                  <c:v>45567.64</c:v>
                </c:pt>
                <c:pt idx="10">
                  <c:v>74884.67</c:v>
                </c:pt>
                <c:pt idx="11">
                  <c:v>41766.618999999999</c:v>
                </c:pt>
                <c:pt idx="12">
                  <c:v>49789.427799999998</c:v>
                </c:pt>
                <c:pt idx="13">
                  <c:v>62284.086199999998</c:v>
                </c:pt>
                <c:pt idx="14">
                  <c:v>70380.311300000001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1-4ECF-BA3E-6E75234CF2CC}"/>
            </c:ext>
          </c:extLst>
        </c:ser>
        <c:ser>
          <c:idx val="1"/>
          <c:order val="1"/>
          <c:tx>
            <c:strRef>
              <c:f>Sheet1!$L$4</c:f>
              <c:strCache>
                <c:ptCount val="1"/>
                <c:pt idx="0">
                  <c:v>Debit card transactions value PoS (Rs crores)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Sheet1!$J$5:$J$19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Sheet1!$L$5:$L$19</c:f>
              <c:numCache>
                <c:formatCode>General</c:formatCode>
                <c:ptCount val="15"/>
                <c:pt idx="0">
                  <c:v>4232.5657580070265</c:v>
                </c:pt>
                <c:pt idx="1">
                  <c:v>5787.0857120869996</c:v>
                </c:pt>
                <c:pt idx="2">
                  <c:v>7714.9155573400112</c:v>
                </c:pt>
                <c:pt idx="3">
                  <c:v>9908.1230123010009</c:v>
                </c:pt>
                <c:pt idx="4">
                  <c:v>14007.201897144003</c:v>
                </c:pt>
                <c:pt idx="5">
                  <c:v>17091.923477069999</c:v>
                </c:pt>
                <c:pt idx="6">
                  <c:v>35131.045477311054</c:v>
                </c:pt>
                <c:pt idx="7">
                  <c:v>48306.202729240336</c:v>
                </c:pt>
                <c:pt idx="8">
                  <c:v>58545.070215206993</c:v>
                </c:pt>
                <c:pt idx="9">
                  <c:v>49839.818309291972</c:v>
                </c:pt>
                <c:pt idx="10">
                  <c:v>60598.737951287978</c:v>
                </c:pt>
                <c:pt idx="11">
                  <c:v>41197.586174720782</c:v>
                </c:pt>
                <c:pt idx="12">
                  <c:v>33512.502870593991</c:v>
                </c:pt>
                <c:pt idx="13">
                  <c:v>28599.756239621027</c:v>
                </c:pt>
                <c:pt idx="14">
                  <c:v>23921.190106991005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1-4ECF-BA3E-6E75234CF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345440"/>
        <c:axId val="347335456"/>
      </c:barChart>
      <c:catAx>
        <c:axId val="3473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335456"/>
        <c:crosses val="autoZero"/>
        <c:auto val="1"/>
        <c:lblAlgn val="ctr"/>
        <c:lblOffset val="100"/>
        <c:noMultiLvlLbl val="0"/>
      </c:catAx>
      <c:valAx>
        <c:axId val="3473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34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Sheet1!$C$22</c:f>
              <c:strCache>
                <c:ptCount val="1"/>
                <c:pt idx="0">
                  <c:v>PoS VOLUME (in actuals)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Sheet1!$B$23:$B$37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Sheet1!$C$23:$C$37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4-4261-865C-76B2A029C566}"/>
            </c:ext>
          </c:extLst>
        </c:ser>
        <c:ser>
          <c:idx val="1"/>
          <c:order val="1"/>
          <c:tx>
            <c:strRef>
              <c:f>Sheet1!$D$22</c:f>
              <c:strCache>
                <c:ptCount val="1"/>
                <c:pt idx="0">
                  <c:v>Debit card payments volume PoS (in actuals)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Sheet1!$B$23:$B$37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Sheet1!$D$23:$D$37</c:f>
              <c:numCache>
                <c:formatCode>General</c:formatCode>
                <c:ptCount val="15"/>
                <c:pt idx="0">
                  <c:v>26603990</c:v>
                </c:pt>
                <c:pt idx="1">
                  <c:v>36895944</c:v>
                </c:pt>
                <c:pt idx="2">
                  <c:v>52163965</c:v>
                </c:pt>
                <c:pt idx="3">
                  <c:v>64662917</c:v>
                </c:pt>
                <c:pt idx="4">
                  <c:v>94969528</c:v>
                </c:pt>
                <c:pt idx="5">
                  <c:v>129069978</c:v>
                </c:pt>
                <c:pt idx="6">
                  <c:v>261256191</c:v>
                </c:pt>
                <c:pt idx="7">
                  <c:v>367352976</c:v>
                </c:pt>
                <c:pt idx="8">
                  <c:v>425640612</c:v>
                </c:pt>
                <c:pt idx="9">
                  <c:v>318383225</c:v>
                </c:pt>
                <c:pt idx="10">
                  <c:v>340400346</c:v>
                </c:pt>
                <c:pt idx="11">
                  <c:v>205226473</c:v>
                </c:pt>
                <c:pt idx="12">
                  <c:v>148520969</c:v>
                </c:pt>
                <c:pt idx="13">
                  <c:v>106857603</c:v>
                </c:pt>
                <c:pt idx="14">
                  <c:v>83219175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A4-4261-865C-76B2A029C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206288"/>
        <c:axId val="335204624"/>
      </c:barChart>
      <c:catAx>
        <c:axId val="33520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04624"/>
        <c:crosses val="autoZero"/>
        <c:auto val="1"/>
        <c:lblAlgn val="ctr"/>
        <c:lblOffset val="100"/>
        <c:noMultiLvlLbl val="0"/>
      </c:catAx>
      <c:valAx>
        <c:axId val="33520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0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dc data'!$C$2</c:f>
              <c:strCache>
                <c:ptCount val="1"/>
                <c:pt idx="0">
                  <c:v>Debit card payments volume PoS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'yoy dc data'!$B$3:$B$17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'yoy dc data'!$C$3:$C$17</c:f>
              <c:numCache>
                <c:formatCode>General</c:formatCode>
                <c:ptCount val="15"/>
                <c:pt idx="0">
                  <c:v>26603990</c:v>
                </c:pt>
                <c:pt idx="1">
                  <c:v>36895944</c:v>
                </c:pt>
                <c:pt idx="2" formatCode="0">
                  <c:v>52163965</c:v>
                </c:pt>
                <c:pt idx="3">
                  <c:v>64662917</c:v>
                </c:pt>
                <c:pt idx="4">
                  <c:v>94969528</c:v>
                </c:pt>
                <c:pt idx="5">
                  <c:v>129069978</c:v>
                </c:pt>
                <c:pt idx="6">
                  <c:v>261256191</c:v>
                </c:pt>
                <c:pt idx="7" formatCode="0">
                  <c:v>367352976</c:v>
                </c:pt>
                <c:pt idx="8" formatCode="0">
                  <c:v>425640612</c:v>
                </c:pt>
                <c:pt idx="9">
                  <c:v>318383225</c:v>
                </c:pt>
                <c:pt idx="10">
                  <c:v>340400346</c:v>
                </c:pt>
                <c:pt idx="11" formatCode="0">
                  <c:v>205226473</c:v>
                </c:pt>
                <c:pt idx="12" formatCode="0">
                  <c:v>148520969</c:v>
                </c:pt>
                <c:pt idx="13" formatCode="0">
                  <c:v>106857603</c:v>
                </c:pt>
                <c:pt idx="14" formatCode="0">
                  <c:v>83219175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5-432F-B87E-A999A4567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986783"/>
        <c:axId val="1441000095"/>
      </c:lineChart>
      <c:catAx>
        <c:axId val="144098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00095"/>
        <c:crosses val="autoZero"/>
        <c:auto val="1"/>
        <c:lblAlgn val="ctr"/>
        <c:lblOffset val="100"/>
        <c:noMultiLvlLbl val="0"/>
      </c:catAx>
      <c:valAx>
        <c:axId val="14410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98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refined2!$C$2</c:f>
              <c:strCache>
                <c:ptCount val="1"/>
                <c:pt idx="0">
                  <c:v>Debit card payments volume PoS (in actuals)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refined2!$B$3:$B$17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refined2!$C$3:$C$17</c:f>
              <c:numCache>
                <c:formatCode>General</c:formatCode>
                <c:ptCount val="15"/>
                <c:pt idx="0">
                  <c:v>26603990</c:v>
                </c:pt>
                <c:pt idx="1">
                  <c:v>36895944</c:v>
                </c:pt>
                <c:pt idx="2">
                  <c:v>52163965</c:v>
                </c:pt>
                <c:pt idx="3">
                  <c:v>64662917</c:v>
                </c:pt>
                <c:pt idx="4">
                  <c:v>94969528</c:v>
                </c:pt>
                <c:pt idx="5">
                  <c:v>129069978</c:v>
                </c:pt>
                <c:pt idx="6">
                  <c:v>261256191</c:v>
                </c:pt>
                <c:pt idx="7">
                  <c:v>367352976</c:v>
                </c:pt>
                <c:pt idx="8">
                  <c:v>425640612</c:v>
                </c:pt>
                <c:pt idx="9">
                  <c:v>318383225</c:v>
                </c:pt>
                <c:pt idx="10">
                  <c:v>340400346</c:v>
                </c:pt>
                <c:pt idx="11">
                  <c:v>205226473</c:v>
                </c:pt>
                <c:pt idx="12">
                  <c:v>148520969</c:v>
                </c:pt>
                <c:pt idx="13">
                  <c:v>106857603</c:v>
                </c:pt>
                <c:pt idx="14">
                  <c:v>83219175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9-406A-83C3-6F09EDD5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1045023"/>
        <c:axId val="1441045439"/>
      </c:barChart>
      <c:lineChart>
        <c:grouping val="standard"/>
        <c:varyColors val="0"/>
        <c:ser>
          <c:idx val="1"/>
          <c:order val="1"/>
          <c:tx>
            <c:strRef>
              <c:f>refined2!$D$2</c:f>
              <c:strCache>
                <c:ptCount val="1"/>
                <c:pt idx="0">
                  <c:v>Debit card payments value PoS (Rs crores)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refined2!$B$3:$B$17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refined2!$D$3:$D$17</c:f>
              <c:numCache>
                <c:formatCode>General</c:formatCode>
                <c:ptCount val="15"/>
                <c:pt idx="0">
                  <c:v>4232.5657580070265</c:v>
                </c:pt>
                <c:pt idx="1">
                  <c:v>5787.0857120869996</c:v>
                </c:pt>
                <c:pt idx="2">
                  <c:v>7714.9155573400112</c:v>
                </c:pt>
                <c:pt idx="3">
                  <c:v>9908.1230123010009</c:v>
                </c:pt>
                <c:pt idx="4">
                  <c:v>14007.201897144003</c:v>
                </c:pt>
                <c:pt idx="5">
                  <c:v>17091.923477069999</c:v>
                </c:pt>
                <c:pt idx="6">
                  <c:v>35131.045477311054</c:v>
                </c:pt>
                <c:pt idx="7">
                  <c:v>48306.202729240336</c:v>
                </c:pt>
                <c:pt idx="8">
                  <c:v>58545.070215206993</c:v>
                </c:pt>
                <c:pt idx="9">
                  <c:v>49839.818309291972</c:v>
                </c:pt>
                <c:pt idx="10">
                  <c:v>60598.737951287978</c:v>
                </c:pt>
                <c:pt idx="11">
                  <c:v>41197.586174720782</c:v>
                </c:pt>
                <c:pt idx="12">
                  <c:v>33512.502870593991</c:v>
                </c:pt>
                <c:pt idx="13">
                  <c:v>28599.756239621027</c:v>
                </c:pt>
                <c:pt idx="14">
                  <c:v>23921.190106991005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9-406A-83C3-6F09EDD5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658543"/>
        <c:axId val="1525635247"/>
      </c:lineChart>
      <c:catAx>
        <c:axId val="152565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35247"/>
        <c:crosses val="autoZero"/>
        <c:auto val="1"/>
        <c:lblAlgn val="ctr"/>
        <c:lblOffset val="100"/>
        <c:noMultiLvlLbl val="0"/>
      </c:catAx>
      <c:valAx>
        <c:axId val="152563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58543"/>
        <c:crosses val="autoZero"/>
        <c:crossBetween val="between"/>
      </c:valAx>
      <c:valAx>
        <c:axId val="14410454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45023"/>
        <c:crosses val="max"/>
        <c:crossBetween val="between"/>
      </c:valAx>
      <c:catAx>
        <c:axId val="144104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1045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dc data'!$C$2</c:f>
              <c:strCache>
                <c:ptCount val="1"/>
                <c:pt idx="0">
                  <c:v>Debit card payments volume PoS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'yoy dc data'!$B$3:$B$17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'yoy dc data'!$C$3:$C$17</c:f>
              <c:numCache>
                <c:formatCode>General</c:formatCode>
                <c:ptCount val="15"/>
                <c:pt idx="0">
                  <c:v>26603990</c:v>
                </c:pt>
                <c:pt idx="1">
                  <c:v>36895944</c:v>
                </c:pt>
                <c:pt idx="2" formatCode="0">
                  <c:v>52163965</c:v>
                </c:pt>
                <c:pt idx="3">
                  <c:v>64662917</c:v>
                </c:pt>
                <c:pt idx="4">
                  <c:v>94969528</c:v>
                </c:pt>
                <c:pt idx="5">
                  <c:v>129069978</c:v>
                </c:pt>
                <c:pt idx="6">
                  <c:v>261256191</c:v>
                </c:pt>
                <c:pt idx="7" formatCode="0">
                  <c:v>367352976</c:v>
                </c:pt>
                <c:pt idx="8" formatCode="0">
                  <c:v>425640612</c:v>
                </c:pt>
                <c:pt idx="9">
                  <c:v>318383225</c:v>
                </c:pt>
                <c:pt idx="10">
                  <c:v>340400346</c:v>
                </c:pt>
                <c:pt idx="11" formatCode="0">
                  <c:v>205226473</c:v>
                </c:pt>
                <c:pt idx="12" formatCode="0">
                  <c:v>148520969</c:v>
                </c:pt>
                <c:pt idx="13" formatCode="0">
                  <c:v>106857603</c:v>
                </c:pt>
                <c:pt idx="14" formatCode="0">
                  <c:v>83219175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C5-4E6F-AB27-9328607FF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986783"/>
        <c:axId val="1441000095"/>
      </c:lineChart>
      <c:catAx>
        <c:axId val="144098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00095"/>
        <c:crosses val="autoZero"/>
        <c:auto val="1"/>
        <c:lblAlgn val="ctr"/>
        <c:lblOffset val="100"/>
        <c:noMultiLvlLbl val="0"/>
      </c:catAx>
      <c:valAx>
        <c:axId val="14410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98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160020</xdr:colOff>
      <xdr:row>19</xdr:row>
      <xdr:rowOff>49530</xdr:rowOff>
    </xdr:from>
    <xdr:to>
      <xdr:col>17</xdr:col>
      <xdr:colOff>350520</xdr:colOff>
      <xdr:row>34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BE6B4-73D6-4A7A-BCFE-5D38D4E73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19</xdr:row>
      <xdr:rowOff>19050</xdr:rowOff>
    </xdr:from>
    <xdr:to>
      <xdr:col>10</xdr:col>
      <xdr:colOff>571500</xdr:colOff>
      <xdr:row>34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823038-774A-48BC-9695-8AFADAFA2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</xdr:colOff>
      <xdr:row>1</xdr:row>
      <xdr:rowOff>240030</xdr:rowOff>
    </xdr:from>
    <xdr:to>
      <xdr:col>18</xdr:col>
      <xdr:colOff>320040</xdr:colOff>
      <xdr:row>16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44613D-B9DA-4E6C-BA72-A56945213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190500</xdr:colOff>
      <xdr:row>17</xdr:row>
      <xdr:rowOff>125730</xdr:rowOff>
    </xdr:from>
    <xdr:to>
      <xdr:col>18</xdr:col>
      <xdr:colOff>495300</xdr:colOff>
      <xdr:row>33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3C52A-47FA-4ED2-9359-7D62AFACA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144780</xdr:colOff>
      <xdr:row>3</xdr:row>
      <xdr:rowOff>121920</xdr:rowOff>
    </xdr:from>
    <xdr:to>
      <xdr:col>19</xdr:col>
      <xdr:colOff>449580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E4D3B3-D4F2-40A2-9C43-681675280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205740</xdr:colOff>
      <xdr:row>21</xdr:row>
      <xdr:rowOff>163830</xdr:rowOff>
    </xdr:from>
    <xdr:to>
      <xdr:col>11</xdr:col>
      <xdr:colOff>624840</xdr:colOff>
      <xdr:row>33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E4DA4A-68F4-4612-AD4A-B4C3DD929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411480</xdr:colOff>
      <xdr:row>2</xdr:row>
      <xdr:rowOff>11430</xdr:rowOff>
    </xdr:from>
    <xdr:to>
      <xdr:col>21</xdr:col>
      <xdr:colOff>106680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C279A-F565-4CFD-AA1F-0553CA099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</xdr:row>
      <xdr:rowOff>110490</xdr:rowOff>
    </xdr:from>
    <xdr:to>
      <xdr:col>18</xdr:col>
      <xdr:colOff>464820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97D9FB-0F19-4E95-92CB-D15B98550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243840</xdr:colOff>
      <xdr:row>20</xdr:row>
      <xdr:rowOff>99060</xdr:rowOff>
    </xdr:from>
    <xdr:to>
      <xdr:col>18</xdr:col>
      <xdr:colOff>480060</xdr:colOff>
      <xdr:row>38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5A1846-E567-4360-8A63-2508E8842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workbookViewId="0">
      <selection activeCell="C13" sqref="C13"/>
    </sheetView>
  </sheetViews>
  <sheetFormatPr defaultRowHeight="14.4"/>
  <cols>
    <col min="1" max="1" width="12.44140625" customWidth="1"/>
    <col min="2" max="2" width="19.109375" customWidth="1"/>
    <col min="3" max="3" width="23.109375" customWidth="1"/>
    <col min="14" max="14" width="12.21875" bestFit="1" customWidth="1"/>
  </cols>
  <sheetData>
    <row r="1" spans="1:14">
      <c r="A1" s="5" t="s">
        <v>0</v>
      </c>
      <c r="B1" s="5" t="s">
        <v>1</v>
      </c>
      <c r="C1" s="5" t="s">
        <v>2</v>
      </c>
    </row>
    <row r="2" spans="1:14">
      <c r="A2">
        <v>2025</v>
      </c>
      <c r="B2" s="3">
        <v>243275291</v>
      </c>
      <c r="C2" s="3">
        <v>703803113</v>
      </c>
      <c r="D2" t="s">
        <v>5</v>
      </c>
    </row>
    <row r="3" spans="1:14">
      <c r="A3">
        <v>2024</v>
      </c>
      <c r="B3" s="3">
        <v>197093825</v>
      </c>
      <c r="C3" s="4">
        <v>622840862</v>
      </c>
      <c r="M3" s="5" t="s">
        <v>0</v>
      </c>
      <c r="N3" s="5" t="s">
        <v>1</v>
      </c>
    </row>
    <row r="4" spans="1:14">
      <c r="A4">
        <v>2023</v>
      </c>
      <c r="B4" s="6">
        <v>143420966</v>
      </c>
      <c r="C4" s="2">
        <v>497894278</v>
      </c>
      <c r="M4">
        <v>2011</v>
      </c>
      <c r="N4" s="6">
        <v>25608258</v>
      </c>
    </row>
    <row r="5" spans="1:14">
      <c r="A5">
        <v>2022</v>
      </c>
      <c r="B5" s="3">
        <v>122069302</v>
      </c>
      <c r="C5" s="4">
        <v>417666190</v>
      </c>
      <c r="M5">
        <v>2012</v>
      </c>
      <c r="N5" s="8">
        <v>33372045</v>
      </c>
    </row>
    <row r="6" spans="1:14">
      <c r="A6">
        <v>2021</v>
      </c>
      <c r="B6" s="3">
        <v>182048394</v>
      </c>
      <c r="C6" s="1">
        <v>7488467</v>
      </c>
      <c r="D6" t="s">
        <v>4</v>
      </c>
      <c r="M6">
        <v>2013</v>
      </c>
      <c r="N6" s="7">
        <v>44192634</v>
      </c>
    </row>
    <row r="7" spans="1:14">
      <c r="A7">
        <v>2020</v>
      </c>
      <c r="B7" s="3">
        <v>132321200</v>
      </c>
      <c r="C7" s="1">
        <v>4556764</v>
      </c>
      <c r="M7">
        <v>2014</v>
      </c>
      <c r="N7" s="7">
        <v>50915719</v>
      </c>
    </row>
    <row r="8" spans="1:14">
      <c r="A8">
        <v>2019</v>
      </c>
      <c r="B8" s="6">
        <v>178415705</v>
      </c>
      <c r="C8" s="9">
        <v>5961639</v>
      </c>
      <c r="M8">
        <v>2015</v>
      </c>
      <c r="N8" s="7">
        <v>64787108</v>
      </c>
    </row>
    <row r="9" spans="1:14">
      <c r="A9">
        <v>2018</v>
      </c>
      <c r="B9" s="6">
        <v>145006210</v>
      </c>
      <c r="C9" s="9">
        <v>477625</v>
      </c>
      <c r="D9" t="s">
        <v>3</v>
      </c>
      <c r="M9">
        <v>2016</v>
      </c>
      <c r="N9" s="3">
        <v>79440734</v>
      </c>
    </row>
    <row r="10" spans="1:14">
      <c r="A10">
        <v>2017</v>
      </c>
      <c r="B10" s="6">
        <v>110762306</v>
      </c>
      <c r="C10" s="9">
        <v>339297.4</v>
      </c>
      <c r="M10">
        <v>2017</v>
      </c>
      <c r="N10" s="6">
        <v>110762306</v>
      </c>
    </row>
    <row r="11" spans="1:14">
      <c r="A11">
        <v>2016</v>
      </c>
      <c r="B11" s="3">
        <v>79440734</v>
      </c>
      <c r="C11" s="1">
        <v>243414.15</v>
      </c>
      <c r="M11">
        <v>2018</v>
      </c>
      <c r="N11" s="6">
        <v>145006210</v>
      </c>
    </row>
    <row r="12" spans="1:14">
      <c r="A12">
        <v>2015</v>
      </c>
      <c r="B12" s="7">
        <v>64787108</v>
      </c>
      <c r="C12" s="10">
        <v>196111.95</v>
      </c>
      <c r="M12">
        <v>2019</v>
      </c>
      <c r="N12" s="6">
        <v>178415705</v>
      </c>
    </row>
    <row r="13" spans="1:14">
      <c r="A13">
        <v>2014</v>
      </c>
      <c r="B13" s="7">
        <v>50915719</v>
      </c>
      <c r="C13" s="10">
        <v>152667.98000000001</v>
      </c>
      <c r="M13">
        <v>2020</v>
      </c>
      <c r="N13" s="3">
        <v>132321200</v>
      </c>
    </row>
    <row r="14" spans="1:14">
      <c r="A14">
        <v>2013</v>
      </c>
      <c r="B14" s="7">
        <v>44192634</v>
      </c>
      <c r="C14" s="10">
        <v>125410.13</v>
      </c>
      <c r="M14">
        <v>2021</v>
      </c>
      <c r="N14" s="3">
        <v>182048394</v>
      </c>
    </row>
    <row r="15" spans="1:14">
      <c r="A15">
        <v>2012</v>
      </c>
      <c r="B15" s="8">
        <v>33372045</v>
      </c>
      <c r="C15" s="11">
        <v>98745.600000000006</v>
      </c>
      <c r="M15">
        <v>2022</v>
      </c>
      <c r="N15" s="3">
        <v>122069302</v>
      </c>
    </row>
    <row r="16" spans="1:14">
      <c r="A16">
        <v>2011</v>
      </c>
      <c r="B16" s="6">
        <v>25608258</v>
      </c>
      <c r="C16" s="2">
        <v>74717.600000000006</v>
      </c>
      <c r="M16">
        <v>2023</v>
      </c>
      <c r="N16" s="6">
        <v>143420966</v>
      </c>
    </row>
    <row r="17" spans="1:14">
      <c r="M17">
        <v>2024</v>
      </c>
      <c r="N17" s="3">
        <v>197093825</v>
      </c>
    </row>
    <row r="18" spans="1:14">
      <c r="A18">
        <v>2025</v>
      </c>
      <c r="B18">
        <f t="shared" ref="B18:B32" si="0">B2/10000000</f>
        <v>24.3275291</v>
      </c>
      <c r="D18">
        <v>2011</v>
      </c>
      <c r="E18">
        <v>2.5608257999999999</v>
      </c>
      <c r="M18">
        <v>2025</v>
      </c>
      <c r="N18" s="3">
        <v>243275291</v>
      </c>
    </row>
    <row r="19" spans="1:14">
      <c r="A19">
        <v>2024</v>
      </c>
      <c r="B19">
        <f t="shared" si="0"/>
        <v>19.7093825</v>
      </c>
      <c r="D19">
        <v>2012</v>
      </c>
      <c r="E19">
        <v>3.3372044999999999</v>
      </c>
    </row>
    <row r="20" spans="1:14">
      <c r="A20">
        <v>2023</v>
      </c>
      <c r="B20">
        <f t="shared" si="0"/>
        <v>14.3420966</v>
      </c>
      <c r="D20">
        <v>2013</v>
      </c>
      <c r="E20">
        <v>4.4192634000000002</v>
      </c>
    </row>
    <row r="21" spans="1:14">
      <c r="A21">
        <v>2022</v>
      </c>
      <c r="B21">
        <f t="shared" si="0"/>
        <v>12.2069302</v>
      </c>
      <c r="D21">
        <v>2014</v>
      </c>
      <c r="E21">
        <v>5.0915718999999999</v>
      </c>
    </row>
    <row r="22" spans="1:14">
      <c r="A22">
        <v>2021</v>
      </c>
      <c r="B22">
        <f t="shared" si="0"/>
        <v>18.204839400000001</v>
      </c>
      <c r="D22">
        <v>2015</v>
      </c>
      <c r="E22">
        <v>6.4787108</v>
      </c>
    </row>
    <row r="23" spans="1:14">
      <c r="A23">
        <v>2020</v>
      </c>
      <c r="B23">
        <f t="shared" si="0"/>
        <v>13.23212</v>
      </c>
      <c r="D23">
        <v>2016</v>
      </c>
      <c r="E23">
        <v>7.9440733999999997</v>
      </c>
    </row>
    <row r="24" spans="1:14">
      <c r="A24">
        <v>2019</v>
      </c>
      <c r="B24">
        <f t="shared" si="0"/>
        <v>17.8415705</v>
      </c>
      <c r="D24">
        <v>2017</v>
      </c>
      <c r="E24">
        <v>11.076230600000001</v>
      </c>
    </row>
    <row r="25" spans="1:14">
      <c r="A25">
        <v>2018</v>
      </c>
      <c r="B25">
        <f t="shared" si="0"/>
        <v>14.500621000000001</v>
      </c>
      <c r="D25">
        <v>2018</v>
      </c>
      <c r="E25">
        <v>14.500621000000001</v>
      </c>
    </row>
    <row r="26" spans="1:14">
      <c r="A26">
        <v>2017</v>
      </c>
      <c r="B26">
        <f t="shared" si="0"/>
        <v>11.076230600000001</v>
      </c>
      <c r="D26">
        <v>2019</v>
      </c>
      <c r="E26">
        <v>17.8415705</v>
      </c>
    </row>
    <row r="27" spans="1:14">
      <c r="A27">
        <v>2016</v>
      </c>
      <c r="B27">
        <f t="shared" si="0"/>
        <v>7.9440733999999997</v>
      </c>
      <c r="D27">
        <v>2020</v>
      </c>
      <c r="E27">
        <v>13.23212</v>
      </c>
    </row>
    <row r="28" spans="1:14">
      <c r="A28">
        <v>2015</v>
      </c>
      <c r="B28">
        <f t="shared" si="0"/>
        <v>6.4787108</v>
      </c>
      <c r="D28">
        <v>2021</v>
      </c>
      <c r="E28">
        <v>18.204839400000001</v>
      </c>
    </row>
    <row r="29" spans="1:14">
      <c r="A29">
        <v>2014</v>
      </c>
      <c r="B29">
        <f t="shared" si="0"/>
        <v>5.0915718999999999</v>
      </c>
      <c r="D29">
        <v>2022</v>
      </c>
      <c r="E29">
        <v>12.2069302</v>
      </c>
    </row>
    <row r="30" spans="1:14">
      <c r="A30">
        <v>2013</v>
      </c>
      <c r="B30">
        <f t="shared" si="0"/>
        <v>4.4192634000000002</v>
      </c>
      <c r="D30">
        <v>2023</v>
      </c>
      <c r="E30">
        <v>14.3420966</v>
      </c>
    </row>
    <row r="31" spans="1:14">
      <c r="A31">
        <v>2012</v>
      </c>
      <c r="B31">
        <f t="shared" si="0"/>
        <v>3.3372044999999999</v>
      </c>
      <c r="D31">
        <v>2024</v>
      </c>
      <c r="E31">
        <v>19.7093825</v>
      </c>
    </row>
    <row r="32" spans="1:14">
      <c r="A32">
        <v>2011</v>
      </c>
      <c r="B32">
        <f t="shared" si="0"/>
        <v>2.5608257999999999</v>
      </c>
      <c r="D32">
        <v>2025</v>
      </c>
      <c r="E32">
        <v>24.3275291</v>
      </c>
    </row>
  </sheetData>
  <sortState xmlns:xlrd2="http://schemas.microsoft.com/office/spreadsheetml/2017/richdata2" ref="D18:E32">
    <sortCondition ref="D18:D3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5A6A-92F7-4DAC-950E-98A8C8DE3F59}">
  <dimension ref="A1:J34"/>
  <sheetViews>
    <sheetView topLeftCell="E4" workbookViewId="0">
      <selection activeCell="I14" sqref="I14"/>
    </sheetView>
  </sheetViews>
  <sheetFormatPr defaultRowHeight="13.8"/>
  <cols>
    <col min="1" max="1" width="8.88671875" style="13"/>
    <col min="2" max="2" width="12.5546875" style="13" bestFit="1" customWidth="1"/>
    <col min="3" max="3" width="22.44140625" style="13" customWidth="1"/>
    <col min="4" max="4" width="16.77734375" style="13" bestFit="1" customWidth="1"/>
    <col min="5" max="7" width="8.88671875" style="13"/>
    <col min="8" max="8" width="8.5546875" style="13" customWidth="1"/>
    <col min="9" max="9" width="20.88671875" style="13" bestFit="1" customWidth="1"/>
    <col min="10" max="10" width="15" style="13" customWidth="1"/>
    <col min="11" max="16384" width="8.88671875" style="13"/>
  </cols>
  <sheetData>
    <row r="1" spans="1:10" ht="14.4" thickBot="1"/>
    <row r="2" spans="1:10" ht="27.6">
      <c r="A2" s="12" t="s">
        <v>0</v>
      </c>
      <c r="B2" s="12" t="s">
        <v>1</v>
      </c>
      <c r="C2" s="12" t="s">
        <v>2</v>
      </c>
      <c r="H2" s="28" t="s">
        <v>0</v>
      </c>
      <c r="I2" s="29" t="s">
        <v>7</v>
      </c>
      <c r="J2" s="30" t="s">
        <v>6</v>
      </c>
    </row>
    <row r="3" spans="1:10">
      <c r="A3" s="13">
        <v>2025</v>
      </c>
      <c r="B3" s="3">
        <v>243275291</v>
      </c>
      <c r="C3" s="14">
        <v>703803113</v>
      </c>
      <c r="D3" s="13">
        <f>C3/10000</f>
        <v>70380.311300000001</v>
      </c>
      <c r="H3" s="31">
        <v>2011</v>
      </c>
      <c r="I3" s="21">
        <v>25608258</v>
      </c>
      <c r="J3" s="22">
        <v>7471.76</v>
      </c>
    </row>
    <row r="4" spans="1:10">
      <c r="A4" s="13">
        <v>2024</v>
      </c>
      <c r="B4" s="3">
        <v>197093825</v>
      </c>
      <c r="C4" s="14">
        <v>622840862</v>
      </c>
      <c r="D4" s="13">
        <f t="shared" ref="D4:D6" si="0">C4/10000</f>
        <v>62284.086199999998</v>
      </c>
      <c r="H4" s="31">
        <v>2012</v>
      </c>
      <c r="I4" s="23">
        <v>33372045</v>
      </c>
      <c r="J4" s="22">
        <v>9874.5600000000013</v>
      </c>
    </row>
    <row r="5" spans="1:10">
      <c r="A5" s="13">
        <v>2023</v>
      </c>
      <c r="B5" s="6">
        <v>143420966</v>
      </c>
      <c r="C5" s="14">
        <v>497894278</v>
      </c>
      <c r="D5" s="13">
        <f t="shared" si="0"/>
        <v>49789.427799999998</v>
      </c>
      <c r="H5" s="31">
        <v>2013</v>
      </c>
      <c r="I5" s="24">
        <v>44192634</v>
      </c>
      <c r="J5" s="22">
        <v>12541.013000000001</v>
      </c>
    </row>
    <row r="6" spans="1:10">
      <c r="A6" s="13">
        <v>2022</v>
      </c>
      <c r="B6" s="3">
        <v>122069302</v>
      </c>
      <c r="C6" s="14">
        <v>417666190</v>
      </c>
      <c r="D6" s="13">
        <f t="shared" si="0"/>
        <v>41766.618999999999</v>
      </c>
      <c r="H6" s="31">
        <v>2014</v>
      </c>
      <c r="I6" s="24">
        <v>50915719</v>
      </c>
      <c r="J6" s="22">
        <v>15266.798000000001</v>
      </c>
    </row>
    <row r="7" spans="1:10">
      <c r="A7" s="13">
        <v>2021</v>
      </c>
      <c r="B7" s="3">
        <v>182048394</v>
      </c>
      <c r="C7" s="15">
        <v>7488467</v>
      </c>
      <c r="D7" s="13">
        <f>C7/100</f>
        <v>74884.67</v>
      </c>
      <c r="H7" s="31">
        <v>2015</v>
      </c>
      <c r="I7" s="24">
        <v>64787108</v>
      </c>
      <c r="J7" s="22">
        <v>19611.195</v>
      </c>
    </row>
    <row r="8" spans="1:10">
      <c r="A8" s="13">
        <v>2020</v>
      </c>
      <c r="B8" s="3">
        <v>132321200</v>
      </c>
      <c r="C8" s="15">
        <v>4556764</v>
      </c>
      <c r="D8" s="13">
        <f t="shared" ref="D8:D9" si="1">C8/100</f>
        <v>45567.64</v>
      </c>
      <c r="H8" s="31">
        <v>2016</v>
      </c>
      <c r="I8" s="25">
        <v>79440734</v>
      </c>
      <c r="J8" s="22">
        <v>24341.415000000001</v>
      </c>
    </row>
    <row r="9" spans="1:10">
      <c r="A9" s="13">
        <v>2019</v>
      </c>
      <c r="B9" s="6">
        <v>178415705</v>
      </c>
      <c r="C9" s="15">
        <v>5961639</v>
      </c>
      <c r="D9" s="13">
        <f t="shared" si="1"/>
        <v>59616.39</v>
      </c>
      <c r="H9" s="31">
        <v>2017</v>
      </c>
      <c r="I9" s="21">
        <v>110762306</v>
      </c>
      <c r="J9" s="22">
        <v>33929.740000000005</v>
      </c>
    </row>
    <row r="10" spans="1:10">
      <c r="A10" s="13">
        <v>2018</v>
      </c>
      <c r="B10" s="6">
        <v>145006210</v>
      </c>
      <c r="C10" s="16">
        <v>477625</v>
      </c>
      <c r="D10" s="20">
        <f>C10/10</f>
        <v>47762.5</v>
      </c>
      <c r="H10" s="31">
        <v>2018</v>
      </c>
      <c r="I10" s="21">
        <v>145006210</v>
      </c>
      <c r="J10" s="22">
        <v>47762.5</v>
      </c>
    </row>
    <row r="11" spans="1:10">
      <c r="A11" s="13">
        <v>2017</v>
      </c>
      <c r="B11" s="6">
        <v>110762306</v>
      </c>
      <c r="C11" s="16">
        <v>339297.4</v>
      </c>
      <c r="D11" s="20">
        <f t="shared" ref="D11:D17" si="2">C11/10</f>
        <v>33929.740000000005</v>
      </c>
      <c r="H11" s="31">
        <v>2019</v>
      </c>
      <c r="I11" s="21">
        <v>178415705</v>
      </c>
      <c r="J11" s="22">
        <v>59616.39</v>
      </c>
    </row>
    <row r="12" spans="1:10">
      <c r="A12" s="13">
        <v>2016</v>
      </c>
      <c r="B12" s="3">
        <v>79440734</v>
      </c>
      <c r="C12" s="16">
        <v>243414.15</v>
      </c>
      <c r="D12" s="20">
        <f t="shared" si="2"/>
        <v>24341.415000000001</v>
      </c>
      <c r="H12" s="31">
        <v>2020</v>
      </c>
      <c r="I12" s="25">
        <v>132321200</v>
      </c>
      <c r="J12" s="22">
        <v>45567.64</v>
      </c>
    </row>
    <row r="13" spans="1:10">
      <c r="A13" s="13">
        <v>2015</v>
      </c>
      <c r="B13" s="7">
        <v>64787108</v>
      </c>
      <c r="C13" s="17">
        <v>196111.95</v>
      </c>
      <c r="D13" s="20">
        <f t="shared" si="2"/>
        <v>19611.195</v>
      </c>
      <c r="H13" s="31">
        <v>2021</v>
      </c>
      <c r="I13" s="25">
        <v>182048394</v>
      </c>
      <c r="J13" s="22">
        <v>74884.67</v>
      </c>
    </row>
    <row r="14" spans="1:10">
      <c r="A14" s="13">
        <v>2014</v>
      </c>
      <c r="B14" s="7">
        <v>50915719</v>
      </c>
      <c r="C14" s="17">
        <v>152667.98000000001</v>
      </c>
      <c r="D14" s="20">
        <f t="shared" si="2"/>
        <v>15266.798000000001</v>
      </c>
      <c r="H14" s="31">
        <v>2022</v>
      </c>
      <c r="I14" s="25">
        <v>122069302</v>
      </c>
      <c r="J14" s="22">
        <v>41766.618999999999</v>
      </c>
    </row>
    <row r="15" spans="1:10">
      <c r="A15" s="13">
        <v>2013</v>
      </c>
      <c r="B15" s="7">
        <v>44192634</v>
      </c>
      <c r="C15" s="17">
        <v>125410.13</v>
      </c>
      <c r="D15" s="20">
        <f t="shared" si="2"/>
        <v>12541.013000000001</v>
      </c>
      <c r="H15" s="31">
        <v>2023</v>
      </c>
      <c r="I15" s="21">
        <v>143420966</v>
      </c>
      <c r="J15" s="22">
        <v>49789.427799999998</v>
      </c>
    </row>
    <row r="16" spans="1:10">
      <c r="A16" s="13">
        <v>2012</v>
      </c>
      <c r="B16" s="8">
        <v>33372045</v>
      </c>
      <c r="C16" s="18">
        <v>98745.600000000006</v>
      </c>
      <c r="D16" s="20">
        <f t="shared" si="2"/>
        <v>9874.5600000000013</v>
      </c>
      <c r="F16" s="13">
        <f>B17/F17</f>
        <v>2.5608257999999999</v>
      </c>
      <c r="H16" s="31">
        <v>2024</v>
      </c>
      <c r="I16" s="25">
        <v>197093825</v>
      </c>
      <c r="J16" s="22">
        <v>62284.086199999998</v>
      </c>
    </row>
    <row r="17" spans="1:10" ht="14.4" thickBot="1">
      <c r="A17" s="13">
        <v>2011</v>
      </c>
      <c r="B17" s="6">
        <v>25608258</v>
      </c>
      <c r="C17" s="19">
        <v>74717.600000000006</v>
      </c>
      <c r="D17" s="20">
        <f t="shared" si="2"/>
        <v>7471.76</v>
      </c>
      <c r="F17" s="13">
        <f>100000*100</f>
        <v>10000000</v>
      </c>
      <c r="H17" s="32">
        <v>2025</v>
      </c>
      <c r="I17" s="26">
        <v>243275291</v>
      </c>
      <c r="J17" s="27">
        <v>70380.311300000001</v>
      </c>
    </row>
    <row r="19" spans="1:10">
      <c r="A19" s="12" t="s">
        <v>0</v>
      </c>
      <c r="B19" s="12" t="s">
        <v>1</v>
      </c>
      <c r="C19" s="12" t="s">
        <v>2</v>
      </c>
      <c r="D19" s="12" t="s">
        <v>2</v>
      </c>
    </row>
    <row r="20" spans="1:10">
      <c r="A20" s="13">
        <v>2011</v>
      </c>
      <c r="B20" s="6">
        <v>25608258</v>
      </c>
      <c r="C20" s="19">
        <v>74717.600000000006</v>
      </c>
      <c r="D20" s="20">
        <f t="shared" ref="D20:D27" si="3">C20/10</f>
        <v>7471.76</v>
      </c>
    </row>
    <row r="21" spans="1:10">
      <c r="A21" s="13">
        <v>2012</v>
      </c>
      <c r="B21" s="8">
        <v>33372045</v>
      </c>
      <c r="C21" s="18">
        <v>98745.600000000006</v>
      </c>
      <c r="D21" s="20">
        <f t="shared" si="3"/>
        <v>9874.5600000000013</v>
      </c>
    </row>
    <row r="22" spans="1:10">
      <c r="A22" s="13">
        <v>2013</v>
      </c>
      <c r="B22" s="7">
        <v>44192634</v>
      </c>
      <c r="C22" s="17">
        <v>125410.13</v>
      </c>
      <c r="D22" s="20">
        <f t="shared" si="3"/>
        <v>12541.013000000001</v>
      </c>
    </row>
    <row r="23" spans="1:10">
      <c r="A23" s="13">
        <v>2014</v>
      </c>
      <c r="B23" s="7">
        <v>50915719</v>
      </c>
      <c r="C23" s="17">
        <v>152667.98000000001</v>
      </c>
      <c r="D23" s="20">
        <f t="shared" si="3"/>
        <v>15266.798000000001</v>
      </c>
    </row>
    <row r="24" spans="1:10">
      <c r="A24" s="13">
        <v>2015</v>
      </c>
      <c r="B24" s="7">
        <v>64787108</v>
      </c>
      <c r="C24" s="17">
        <v>196111.95</v>
      </c>
      <c r="D24" s="20">
        <f t="shared" si="3"/>
        <v>19611.195</v>
      </c>
    </row>
    <row r="25" spans="1:10">
      <c r="A25" s="13">
        <v>2016</v>
      </c>
      <c r="B25" s="3">
        <v>79440734</v>
      </c>
      <c r="C25" s="16">
        <v>243414.15</v>
      </c>
      <c r="D25" s="20">
        <f t="shared" si="3"/>
        <v>24341.415000000001</v>
      </c>
    </row>
    <row r="26" spans="1:10">
      <c r="A26" s="13">
        <v>2017</v>
      </c>
      <c r="B26" s="6">
        <v>110762306</v>
      </c>
      <c r="C26" s="16">
        <v>339297.4</v>
      </c>
      <c r="D26" s="20">
        <f t="shared" si="3"/>
        <v>33929.740000000005</v>
      </c>
    </row>
    <row r="27" spans="1:10">
      <c r="A27" s="13">
        <v>2018</v>
      </c>
      <c r="B27" s="6">
        <v>145006210</v>
      </c>
      <c r="C27" s="16">
        <v>477625</v>
      </c>
      <c r="D27" s="20">
        <f t="shared" si="3"/>
        <v>47762.5</v>
      </c>
    </row>
    <row r="28" spans="1:10">
      <c r="A28" s="13">
        <v>2019</v>
      </c>
      <c r="B28" s="6">
        <v>178415705</v>
      </c>
      <c r="C28" s="15">
        <v>5961639</v>
      </c>
      <c r="D28" s="13">
        <f>C28/100</f>
        <v>59616.39</v>
      </c>
    </row>
    <row r="29" spans="1:10">
      <c r="A29" s="13">
        <v>2020</v>
      </c>
      <c r="B29" s="3">
        <v>132321200</v>
      </c>
      <c r="C29" s="15">
        <v>4556764</v>
      </c>
      <c r="D29" s="13">
        <f>C29/100</f>
        <v>45567.64</v>
      </c>
    </row>
    <row r="30" spans="1:10">
      <c r="A30" s="13">
        <v>2021</v>
      </c>
      <c r="B30" s="3">
        <v>182048394</v>
      </c>
      <c r="C30" s="15">
        <v>7488467</v>
      </c>
      <c r="D30" s="13">
        <f>C30/100</f>
        <v>74884.67</v>
      </c>
    </row>
    <row r="31" spans="1:10">
      <c r="A31" s="13">
        <v>2022</v>
      </c>
      <c r="B31" s="3">
        <v>122069302</v>
      </c>
      <c r="C31" s="14">
        <v>417666190</v>
      </c>
      <c r="D31" s="13">
        <f>C31/10000</f>
        <v>41766.618999999999</v>
      </c>
    </row>
    <row r="32" spans="1:10">
      <c r="A32" s="13">
        <v>2023</v>
      </c>
      <c r="B32" s="6">
        <v>143420966</v>
      </c>
      <c r="C32" s="14">
        <v>497894278</v>
      </c>
      <c r="D32" s="13">
        <f>C32/10000</f>
        <v>49789.427799999998</v>
      </c>
    </row>
    <row r="33" spans="1:4">
      <c r="A33" s="13">
        <v>2024</v>
      </c>
      <c r="B33" s="3">
        <v>197093825</v>
      </c>
      <c r="C33" s="14">
        <v>622840862</v>
      </c>
      <c r="D33" s="13">
        <f>C33/10000</f>
        <v>62284.086199999998</v>
      </c>
    </row>
    <row r="34" spans="1:4">
      <c r="A34" s="13">
        <v>2025</v>
      </c>
      <c r="B34" s="3">
        <v>243275291</v>
      </c>
      <c r="C34" s="14">
        <v>703803113</v>
      </c>
      <c r="D34" s="13">
        <f>C34/10000</f>
        <v>70380.311300000001</v>
      </c>
    </row>
  </sheetData>
  <sortState xmlns:xlrd2="http://schemas.microsoft.com/office/spreadsheetml/2017/richdata2" ref="A20:D34">
    <sortCondition ref="A20:A3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640C-A064-4481-966F-E85A5EAB97C3}">
  <dimension ref="B2:L37"/>
  <sheetViews>
    <sheetView topLeftCell="A16" workbookViewId="0">
      <selection activeCell="H38" sqref="H38"/>
    </sheetView>
  </sheetViews>
  <sheetFormatPr defaultRowHeight="14.4"/>
  <cols>
    <col min="3" max="3" width="20.44140625" bestFit="1" customWidth="1"/>
    <col min="4" max="4" width="11" bestFit="1" customWidth="1"/>
    <col min="7" max="7" width="15.5546875" customWidth="1"/>
    <col min="8" max="8" width="16.21875" customWidth="1"/>
    <col min="11" max="11" width="11" bestFit="1" customWidth="1"/>
    <col min="12" max="12" width="12" bestFit="1" customWidth="1"/>
  </cols>
  <sheetData>
    <row r="2" spans="2:12">
      <c r="B2" t="s">
        <v>43</v>
      </c>
    </row>
    <row r="3" spans="2:12" ht="15" thickBot="1"/>
    <row r="4" spans="2:12" ht="57.6">
      <c r="B4" s="28" t="s">
        <v>0</v>
      </c>
      <c r="C4" s="29" t="s">
        <v>7</v>
      </c>
      <c r="D4" s="30" t="s">
        <v>6</v>
      </c>
      <c r="F4" s="49" t="s">
        <v>8</v>
      </c>
      <c r="G4" s="50" t="s">
        <v>12</v>
      </c>
      <c r="H4" s="51" t="s">
        <v>11</v>
      </c>
      <c r="J4" s="28" t="s">
        <v>0</v>
      </c>
      <c r="K4" s="30" t="s">
        <v>45</v>
      </c>
      <c r="L4" s="51" t="s">
        <v>44</v>
      </c>
    </row>
    <row r="5" spans="2:12">
      <c r="B5" s="31">
        <v>2011</v>
      </c>
      <c r="C5" s="21">
        <v>25608258</v>
      </c>
      <c r="D5" s="22">
        <v>7471.76</v>
      </c>
      <c r="F5" s="52">
        <v>2011</v>
      </c>
      <c r="G5" s="53">
        <v>26603990</v>
      </c>
      <c r="H5" s="54">
        <v>4232.5657580070265</v>
      </c>
      <c r="J5" s="31">
        <v>2011</v>
      </c>
      <c r="K5" s="22">
        <v>7471.76</v>
      </c>
      <c r="L5" s="54">
        <v>4232.5657580070265</v>
      </c>
    </row>
    <row r="6" spans="2:12">
      <c r="B6" s="31">
        <v>2012</v>
      </c>
      <c r="C6" s="23">
        <v>33372045</v>
      </c>
      <c r="D6" s="22">
        <v>9874.5600000000013</v>
      </c>
      <c r="F6" s="52">
        <v>2012</v>
      </c>
      <c r="G6" s="53">
        <v>36895944</v>
      </c>
      <c r="H6" s="54">
        <v>5787.0857120869996</v>
      </c>
      <c r="J6" s="31">
        <v>2012</v>
      </c>
      <c r="K6" s="22">
        <v>9874.5600000000013</v>
      </c>
      <c r="L6" s="54">
        <v>5787.0857120869996</v>
      </c>
    </row>
    <row r="7" spans="2:12">
      <c r="B7" s="31">
        <v>2013</v>
      </c>
      <c r="C7" s="24">
        <v>44192634</v>
      </c>
      <c r="D7" s="22">
        <v>12541.013000000001</v>
      </c>
      <c r="F7" s="52">
        <v>2013</v>
      </c>
      <c r="G7" s="53">
        <v>52163965</v>
      </c>
      <c r="H7" s="54">
        <v>7714.9155573400112</v>
      </c>
      <c r="J7" s="31">
        <v>2013</v>
      </c>
      <c r="K7" s="22">
        <v>12541.013000000001</v>
      </c>
      <c r="L7" s="54">
        <v>7714.9155573400112</v>
      </c>
    </row>
    <row r="8" spans="2:12">
      <c r="B8" s="31">
        <v>2014</v>
      </c>
      <c r="C8" s="24">
        <v>50915719</v>
      </c>
      <c r="D8" s="22">
        <v>15266.798000000001</v>
      </c>
      <c r="F8" s="52">
        <v>2014</v>
      </c>
      <c r="G8" s="53">
        <v>64662917</v>
      </c>
      <c r="H8" s="54">
        <v>9908.1230123010009</v>
      </c>
      <c r="J8" s="31">
        <v>2014</v>
      </c>
      <c r="K8" s="22">
        <v>15266.798000000001</v>
      </c>
      <c r="L8" s="54">
        <v>9908.1230123010009</v>
      </c>
    </row>
    <row r="9" spans="2:12">
      <c r="B9" s="31">
        <v>2015</v>
      </c>
      <c r="C9" s="24">
        <v>64787108</v>
      </c>
      <c r="D9" s="22">
        <v>19611.195</v>
      </c>
      <c r="F9" s="52">
        <v>2015</v>
      </c>
      <c r="G9" s="53">
        <v>94969528</v>
      </c>
      <c r="H9" s="54">
        <v>14007.201897144003</v>
      </c>
      <c r="J9" s="31">
        <v>2015</v>
      </c>
      <c r="K9" s="22">
        <v>19611.195</v>
      </c>
      <c r="L9" s="54">
        <v>14007.201897144003</v>
      </c>
    </row>
    <row r="10" spans="2:12">
      <c r="B10" s="31">
        <v>2016</v>
      </c>
      <c r="C10" s="25">
        <v>79440734</v>
      </c>
      <c r="D10" s="22">
        <v>24341.415000000001</v>
      </c>
      <c r="F10" s="52">
        <v>2016</v>
      </c>
      <c r="G10" s="53">
        <v>129069978</v>
      </c>
      <c r="H10" s="54">
        <v>17091.923477069999</v>
      </c>
      <c r="J10" s="31">
        <v>2016</v>
      </c>
      <c r="K10" s="22">
        <v>24341.415000000001</v>
      </c>
      <c r="L10" s="54">
        <v>17091.923477069999</v>
      </c>
    </row>
    <row r="11" spans="2:12">
      <c r="B11" s="31">
        <v>2017</v>
      </c>
      <c r="C11" s="21">
        <v>110762306</v>
      </c>
      <c r="D11" s="22">
        <v>33929.740000000005</v>
      </c>
      <c r="F11" s="52">
        <v>2017</v>
      </c>
      <c r="G11" s="53">
        <v>261256191</v>
      </c>
      <c r="H11" s="54">
        <v>35131.045477311054</v>
      </c>
      <c r="J11" s="31">
        <v>2017</v>
      </c>
      <c r="K11" s="22">
        <v>33929.740000000005</v>
      </c>
      <c r="L11" s="54">
        <v>35131.045477311054</v>
      </c>
    </row>
    <row r="12" spans="2:12">
      <c r="B12" s="31">
        <v>2018</v>
      </c>
      <c r="C12" s="21">
        <v>145006210</v>
      </c>
      <c r="D12" s="22">
        <v>47762.5</v>
      </c>
      <c r="F12" s="52">
        <v>2018</v>
      </c>
      <c r="G12" s="53">
        <v>367352976</v>
      </c>
      <c r="H12" s="54">
        <v>48306.202729240336</v>
      </c>
      <c r="J12" s="31">
        <v>2018</v>
      </c>
      <c r="K12" s="22">
        <v>47762.5</v>
      </c>
      <c r="L12" s="54">
        <v>48306.202729240336</v>
      </c>
    </row>
    <row r="13" spans="2:12">
      <c r="B13" s="31">
        <v>2019</v>
      </c>
      <c r="C13" s="21">
        <v>178415705</v>
      </c>
      <c r="D13" s="22">
        <v>59616.39</v>
      </c>
      <c r="F13" s="52">
        <v>2019</v>
      </c>
      <c r="G13" s="53">
        <v>425640612</v>
      </c>
      <c r="H13" s="54">
        <v>58545.070215206993</v>
      </c>
      <c r="J13" s="31">
        <v>2019</v>
      </c>
      <c r="K13" s="22">
        <v>59616.39</v>
      </c>
      <c r="L13" s="54">
        <v>58545.070215206993</v>
      </c>
    </row>
    <row r="14" spans="2:12">
      <c r="B14" s="31">
        <v>2020</v>
      </c>
      <c r="C14" s="25">
        <v>132321200</v>
      </c>
      <c r="D14" s="22">
        <v>45567.64</v>
      </c>
      <c r="F14" s="52">
        <v>2020</v>
      </c>
      <c r="G14" s="53">
        <v>318383225</v>
      </c>
      <c r="H14" s="54">
        <v>49839.818309291972</v>
      </c>
      <c r="J14" s="31">
        <v>2020</v>
      </c>
      <c r="K14" s="22">
        <v>45567.64</v>
      </c>
      <c r="L14" s="54">
        <v>49839.818309291972</v>
      </c>
    </row>
    <row r="15" spans="2:12">
      <c r="B15" s="31">
        <v>2021</v>
      </c>
      <c r="C15" s="25">
        <v>182048394</v>
      </c>
      <c r="D15" s="22">
        <v>74884.67</v>
      </c>
      <c r="F15" s="52">
        <v>2021</v>
      </c>
      <c r="G15" s="53">
        <v>340400346</v>
      </c>
      <c r="H15" s="54">
        <v>60598.737951287978</v>
      </c>
      <c r="J15" s="31">
        <v>2021</v>
      </c>
      <c r="K15" s="22">
        <v>74884.67</v>
      </c>
      <c r="L15" s="54">
        <v>60598.737951287978</v>
      </c>
    </row>
    <row r="16" spans="2:12">
      <c r="B16" s="31">
        <v>2022</v>
      </c>
      <c r="C16" s="25">
        <v>122069302</v>
      </c>
      <c r="D16" s="22">
        <v>41766.618999999999</v>
      </c>
      <c r="F16" s="52">
        <v>2022</v>
      </c>
      <c r="G16" s="53">
        <v>205226473</v>
      </c>
      <c r="H16" s="54">
        <v>41197.586174720782</v>
      </c>
      <c r="J16" s="31">
        <v>2022</v>
      </c>
      <c r="K16" s="22">
        <v>41766.618999999999</v>
      </c>
      <c r="L16" s="54">
        <v>41197.586174720782</v>
      </c>
    </row>
    <row r="17" spans="2:12">
      <c r="B17" s="31">
        <v>2023</v>
      </c>
      <c r="C17" s="21">
        <v>143420966</v>
      </c>
      <c r="D17" s="22">
        <v>49789.427799999998</v>
      </c>
      <c r="F17" s="52">
        <v>2023</v>
      </c>
      <c r="G17" s="53">
        <v>148520969</v>
      </c>
      <c r="H17" s="54">
        <v>33512.502870593991</v>
      </c>
      <c r="J17" s="31">
        <v>2023</v>
      </c>
      <c r="K17" s="22">
        <v>49789.427799999998</v>
      </c>
      <c r="L17" s="54">
        <v>33512.502870593991</v>
      </c>
    </row>
    <row r="18" spans="2:12">
      <c r="B18" s="31">
        <v>2024</v>
      </c>
      <c r="C18" s="25">
        <v>197093825</v>
      </c>
      <c r="D18" s="22">
        <v>62284.086199999998</v>
      </c>
      <c r="F18" s="52">
        <v>2024</v>
      </c>
      <c r="G18" s="53">
        <v>106857603</v>
      </c>
      <c r="H18" s="54">
        <v>28599.756239621027</v>
      </c>
      <c r="J18" s="31">
        <v>2024</v>
      </c>
      <c r="K18" s="22">
        <v>62284.086199999998</v>
      </c>
      <c r="L18" s="54">
        <v>28599.756239621027</v>
      </c>
    </row>
    <row r="19" spans="2:12" ht="15" thickBot="1">
      <c r="B19" s="32">
        <v>2025</v>
      </c>
      <c r="C19" s="26">
        <v>243275291</v>
      </c>
      <c r="D19" s="27">
        <v>70380.311300000001</v>
      </c>
      <c r="F19" s="55">
        <v>2025</v>
      </c>
      <c r="G19" s="56">
        <v>83219175</v>
      </c>
      <c r="H19" s="57">
        <v>23921.190106991005</v>
      </c>
      <c r="J19" s="32">
        <v>2025</v>
      </c>
      <c r="K19" s="27">
        <v>70380.311300000001</v>
      </c>
      <c r="L19" s="57">
        <v>23921.190106991005</v>
      </c>
    </row>
    <row r="21" spans="2:12" ht="15" thickBot="1"/>
    <row r="22" spans="2:12" ht="57.6">
      <c r="B22" s="28" t="s">
        <v>0</v>
      </c>
      <c r="C22" s="29" t="s">
        <v>7</v>
      </c>
      <c r="D22" s="50" t="s">
        <v>12</v>
      </c>
    </row>
    <row r="23" spans="2:12">
      <c r="B23" s="31">
        <v>2011</v>
      </c>
      <c r="C23" s="21">
        <v>25608258</v>
      </c>
      <c r="D23" s="53">
        <v>26603990</v>
      </c>
    </row>
    <row r="24" spans="2:12">
      <c r="B24" s="31">
        <v>2012</v>
      </c>
      <c r="C24" s="23">
        <v>33372045</v>
      </c>
      <c r="D24" s="53">
        <v>36895944</v>
      </c>
    </row>
    <row r="25" spans="2:12">
      <c r="B25" s="31">
        <v>2013</v>
      </c>
      <c r="C25" s="24">
        <v>44192634</v>
      </c>
      <c r="D25" s="53">
        <v>52163965</v>
      </c>
    </row>
    <row r="26" spans="2:12">
      <c r="B26" s="31">
        <v>2014</v>
      </c>
      <c r="C26" s="24">
        <v>50915719</v>
      </c>
      <c r="D26" s="53">
        <v>64662917</v>
      </c>
    </row>
    <row r="27" spans="2:12">
      <c r="B27" s="31">
        <v>2015</v>
      </c>
      <c r="C27" s="24">
        <v>64787108</v>
      </c>
      <c r="D27" s="53">
        <v>94969528</v>
      </c>
    </row>
    <row r="28" spans="2:12">
      <c r="B28" s="31">
        <v>2016</v>
      </c>
      <c r="C28" s="25">
        <v>79440734</v>
      </c>
      <c r="D28" s="53">
        <v>129069978</v>
      </c>
    </row>
    <row r="29" spans="2:12">
      <c r="B29" s="31">
        <v>2017</v>
      </c>
      <c r="C29" s="21">
        <v>110762306</v>
      </c>
      <c r="D29" s="53">
        <v>261256191</v>
      </c>
    </row>
    <row r="30" spans="2:12">
      <c r="B30" s="31">
        <v>2018</v>
      </c>
      <c r="C30" s="21">
        <v>145006210</v>
      </c>
      <c r="D30" s="53">
        <v>367352976</v>
      </c>
    </row>
    <row r="31" spans="2:12">
      <c r="B31" s="31">
        <v>2019</v>
      </c>
      <c r="C31" s="21">
        <v>178415705</v>
      </c>
      <c r="D31" s="53">
        <v>425640612</v>
      </c>
    </row>
    <row r="32" spans="2:12">
      <c r="B32" s="31">
        <v>2020</v>
      </c>
      <c r="C32" s="25">
        <v>132321200</v>
      </c>
      <c r="D32" s="53">
        <v>318383225</v>
      </c>
    </row>
    <row r="33" spans="2:6">
      <c r="B33" s="31">
        <v>2021</v>
      </c>
      <c r="C33" s="25">
        <v>182048394</v>
      </c>
      <c r="D33" s="53">
        <v>340400346</v>
      </c>
    </row>
    <row r="34" spans="2:6">
      <c r="B34" s="31">
        <v>2022</v>
      </c>
      <c r="C34" s="25">
        <v>122069302</v>
      </c>
      <c r="D34" s="53">
        <v>205226473</v>
      </c>
    </row>
    <row r="35" spans="2:6">
      <c r="B35" s="31">
        <v>2023</v>
      </c>
      <c r="C35" s="21">
        <v>143420966</v>
      </c>
      <c r="D35" s="53">
        <v>148520969</v>
      </c>
    </row>
    <row r="36" spans="2:6">
      <c r="B36" s="31">
        <v>2024</v>
      </c>
      <c r="C36" s="25">
        <v>197093825</v>
      </c>
      <c r="D36" s="53">
        <v>106857603</v>
      </c>
      <c r="E36">
        <f>C36/10000000</f>
        <v>19.7093825</v>
      </c>
      <c r="F36">
        <f>D36/10000000</f>
        <v>10.6857603</v>
      </c>
    </row>
    <row r="37" spans="2:6" ht="15" thickBot="1">
      <c r="B37" s="32">
        <v>2025</v>
      </c>
      <c r="C37" s="26">
        <v>243275291</v>
      </c>
      <c r="D37" s="56">
        <v>83219175</v>
      </c>
      <c r="E37">
        <f>C37/10000000</f>
        <v>24.3275291</v>
      </c>
      <c r="F37">
        <f>D37/10000000</f>
        <v>8.3219174999999996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4B51-79DF-436B-A70C-A825BCC34CD8}">
  <dimension ref="B2:AG27"/>
  <sheetViews>
    <sheetView topLeftCell="K1" workbookViewId="0">
      <selection activeCell="I21" sqref="I21"/>
    </sheetView>
  </sheetViews>
  <sheetFormatPr defaultRowHeight="14.4"/>
  <cols>
    <col min="3" max="3" width="16.5546875" bestFit="1" customWidth="1"/>
    <col min="4" max="4" width="16.6640625" customWidth="1"/>
    <col min="8" max="8" width="28" bestFit="1" customWidth="1"/>
  </cols>
  <sheetData>
    <row r="2" spans="2:28" ht="43.2">
      <c r="B2" t="s">
        <v>8</v>
      </c>
      <c r="C2" s="40" t="s">
        <v>9</v>
      </c>
      <c r="D2" s="40" t="s">
        <v>10</v>
      </c>
      <c r="G2" t="s">
        <v>8</v>
      </c>
      <c r="H2" t="s">
        <v>9</v>
      </c>
      <c r="J2" t="s">
        <v>13</v>
      </c>
      <c r="K2" t="s">
        <v>14</v>
      </c>
      <c r="L2" t="s">
        <v>15</v>
      </c>
    </row>
    <row r="3" spans="2:28">
      <c r="B3">
        <v>2011</v>
      </c>
      <c r="C3" s="33">
        <v>26603990</v>
      </c>
      <c r="D3" s="45">
        <v>42325.657580070263</v>
      </c>
      <c r="E3" t="s">
        <v>3</v>
      </c>
      <c r="G3">
        <v>2011</v>
      </c>
      <c r="H3">
        <v>26603990</v>
      </c>
      <c r="I3">
        <f>D3/10</f>
        <v>4232.5657580070265</v>
      </c>
      <c r="J3">
        <f>LOG(I3)</f>
        <v>3.6266037141212557</v>
      </c>
      <c r="K3">
        <v>1</v>
      </c>
      <c r="L3">
        <v>0</v>
      </c>
    </row>
    <row r="4" spans="2:28">
      <c r="B4">
        <v>2012</v>
      </c>
      <c r="C4" s="34">
        <v>36895944</v>
      </c>
      <c r="D4" s="46">
        <v>57870.857120869994</v>
      </c>
      <c r="G4">
        <v>2012</v>
      </c>
      <c r="H4">
        <v>36895944</v>
      </c>
      <c r="I4">
        <f t="shared" ref="I4:I10" si="0">D4/10</f>
        <v>5787.0857120869996</v>
      </c>
      <c r="J4">
        <f t="shared" ref="J4:J17" si="1">LOG(I4)</f>
        <v>3.7624599147137721</v>
      </c>
      <c r="K4">
        <v>2</v>
      </c>
      <c r="L4">
        <v>0</v>
      </c>
    </row>
    <row r="5" spans="2:28" ht="15.6">
      <c r="B5">
        <v>2013</v>
      </c>
      <c r="C5" s="35">
        <v>52163965</v>
      </c>
      <c r="D5" s="47">
        <v>77149.155573400116</v>
      </c>
      <c r="G5">
        <v>2013</v>
      </c>
      <c r="H5">
        <v>52163965</v>
      </c>
      <c r="I5">
        <f t="shared" si="0"/>
        <v>7714.9155573400112</v>
      </c>
      <c r="J5">
        <f t="shared" si="1"/>
        <v>3.887331176908309</v>
      </c>
      <c r="K5">
        <v>3</v>
      </c>
      <c r="L5">
        <v>0</v>
      </c>
      <c r="AB5" t="s">
        <v>40</v>
      </c>
    </row>
    <row r="6" spans="2:28" ht="15.6">
      <c r="B6">
        <v>2014</v>
      </c>
      <c r="C6" s="36">
        <v>64662917</v>
      </c>
      <c r="D6" s="47">
        <v>99081.230123010013</v>
      </c>
      <c r="G6">
        <v>2014</v>
      </c>
      <c r="H6">
        <v>64662917</v>
      </c>
      <c r="I6">
        <f t="shared" si="0"/>
        <v>9908.1230123010009</v>
      </c>
      <c r="J6">
        <f t="shared" si="1"/>
        <v>3.9959913898427351</v>
      </c>
      <c r="K6">
        <v>4</v>
      </c>
      <c r="L6">
        <v>0</v>
      </c>
      <c r="AB6" t="s">
        <v>41</v>
      </c>
    </row>
    <row r="7" spans="2:28" ht="15.6">
      <c r="B7">
        <v>2015</v>
      </c>
      <c r="C7" s="36">
        <v>94969528</v>
      </c>
      <c r="D7" s="47">
        <v>140072.01897144003</v>
      </c>
      <c r="G7">
        <v>2015</v>
      </c>
      <c r="H7">
        <v>94969528</v>
      </c>
      <c r="I7">
        <f t="shared" si="0"/>
        <v>14007.201897144003</v>
      </c>
      <c r="J7">
        <f t="shared" si="1"/>
        <v>4.1463513885336427</v>
      </c>
      <c r="K7">
        <v>5</v>
      </c>
      <c r="L7">
        <v>0</v>
      </c>
    </row>
    <row r="8" spans="2:28">
      <c r="B8">
        <v>2016</v>
      </c>
      <c r="C8">
        <v>129069978</v>
      </c>
      <c r="D8" s="47">
        <v>170919.23477069999</v>
      </c>
      <c r="G8">
        <v>2016</v>
      </c>
      <c r="H8">
        <v>129069978</v>
      </c>
      <c r="I8">
        <f t="shared" si="0"/>
        <v>17091.923477069999</v>
      </c>
      <c r="J8">
        <f t="shared" si="1"/>
        <v>4.232790939752423</v>
      </c>
      <c r="K8">
        <v>6</v>
      </c>
      <c r="L8">
        <v>0</v>
      </c>
    </row>
    <row r="9" spans="2:28">
      <c r="B9">
        <v>2017</v>
      </c>
      <c r="C9">
        <v>261256191</v>
      </c>
      <c r="D9" s="47">
        <v>351310.45477311051</v>
      </c>
      <c r="G9">
        <v>2017</v>
      </c>
      <c r="H9">
        <v>261256191</v>
      </c>
      <c r="I9">
        <f t="shared" si="0"/>
        <v>35131.045477311054</v>
      </c>
      <c r="J9">
        <f t="shared" si="1"/>
        <v>4.5456910743087073</v>
      </c>
      <c r="K9">
        <v>7</v>
      </c>
      <c r="L9">
        <v>0</v>
      </c>
      <c r="W9" t="s">
        <v>16</v>
      </c>
    </row>
    <row r="10" spans="2:28" ht="15" thickBot="1">
      <c r="B10">
        <v>2018</v>
      </c>
      <c r="C10" s="37">
        <v>367352976</v>
      </c>
      <c r="D10" s="48">
        <v>483062.02729240333</v>
      </c>
      <c r="G10">
        <v>2018</v>
      </c>
      <c r="H10">
        <v>367352976</v>
      </c>
      <c r="I10">
        <f t="shared" si="0"/>
        <v>48306.202729240336</v>
      </c>
      <c r="J10">
        <f t="shared" si="1"/>
        <v>4.6840028996568082</v>
      </c>
      <c r="K10">
        <v>8</v>
      </c>
      <c r="L10">
        <v>0</v>
      </c>
    </row>
    <row r="11" spans="2:28">
      <c r="B11">
        <v>2019</v>
      </c>
      <c r="C11" s="37">
        <v>425640612</v>
      </c>
      <c r="D11" s="44">
        <v>5854507.0215206994</v>
      </c>
      <c r="E11" t="s">
        <v>4</v>
      </c>
      <c r="G11">
        <v>2019</v>
      </c>
      <c r="H11">
        <v>425640612</v>
      </c>
      <c r="I11">
        <f>D11/100</f>
        <v>58545.070215206993</v>
      </c>
      <c r="J11">
        <f t="shared" si="1"/>
        <v>4.7674903312022243</v>
      </c>
      <c r="K11">
        <v>9</v>
      </c>
      <c r="L11">
        <v>1</v>
      </c>
      <c r="W11" s="61" t="s">
        <v>17</v>
      </c>
      <c r="X11" s="61"/>
    </row>
    <row r="12" spans="2:28">
      <c r="B12">
        <v>2020</v>
      </c>
      <c r="C12">
        <v>318383225</v>
      </c>
      <c r="D12" s="44">
        <v>4983981.8309291974</v>
      </c>
      <c r="G12">
        <v>2020</v>
      </c>
      <c r="H12">
        <v>318383225</v>
      </c>
      <c r="I12">
        <f t="shared" ref="I12:I13" si="2">D12/100</f>
        <v>49839.818309291972</v>
      </c>
      <c r="J12">
        <f t="shared" si="1"/>
        <v>4.6975764504365118</v>
      </c>
      <c r="K12">
        <v>10</v>
      </c>
      <c r="L12">
        <v>2</v>
      </c>
      <c r="W12" s="58" t="s">
        <v>18</v>
      </c>
      <c r="X12" s="58">
        <v>0.97700486733746283</v>
      </c>
    </row>
    <row r="13" spans="2:28">
      <c r="B13">
        <v>2021</v>
      </c>
      <c r="C13">
        <v>340400346</v>
      </c>
      <c r="D13" s="44">
        <v>6059873.7951287981</v>
      </c>
      <c r="G13">
        <v>2021</v>
      </c>
      <c r="H13">
        <v>340400346</v>
      </c>
      <c r="I13">
        <f t="shared" si="2"/>
        <v>60598.737951287978</v>
      </c>
      <c r="J13">
        <f t="shared" si="1"/>
        <v>4.7824635795045873</v>
      </c>
      <c r="K13">
        <v>11</v>
      </c>
      <c r="L13">
        <v>3</v>
      </c>
      <c r="W13" s="58" t="s">
        <v>19</v>
      </c>
      <c r="X13" s="58">
        <v>0.95453851080109331</v>
      </c>
    </row>
    <row r="14" spans="2:28">
      <c r="B14">
        <v>2022</v>
      </c>
      <c r="C14" s="38">
        <v>205226473</v>
      </c>
      <c r="D14" s="41">
        <v>411975861.74720782</v>
      </c>
      <c r="E14" t="s">
        <v>5</v>
      </c>
      <c r="G14">
        <v>2022</v>
      </c>
      <c r="H14">
        <v>205226473</v>
      </c>
      <c r="I14">
        <f>D14/10000</f>
        <v>41197.586174720782</v>
      </c>
      <c r="J14">
        <f t="shared" si="1"/>
        <v>4.6148717708460119</v>
      </c>
      <c r="K14">
        <v>12</v>
      </c>
      <c r="L14">
        <v>4</v>
      </c>
      <c r="W14" s="58" t="s">
        <v>20</v>
      </c>
      <c r="X14" s="58">
        <v>0.94696159593460882</v>
      </c>
    </row>
    <row r="15" spans="2:28">
      <c r="B15">
        <v>2023</v>
      </c>
      <c r="C15" s="39">
        <v>148520969</v>
      </c>
      <c r="D15" s="42">
        <v>335125028.70593989</v>
      </c>
      <c r="G15">
        <v>2023</v>
      </c>
      <c r="H15">
        <v>148520969</v>
      </c>
      <c r="I15">
        <f t="shared" ref="I15:I17" si="3">D15/10000</f>
        <v>33512.502870593991</v>
      </c>
      <c r="J15">
        <f t="shared" si="1"/>
        <v>4.5252068641914756</v>
      </c>
      <c r="K15">
        <v>13</v>
      </c>
      <c r="L15">
        <v>5</v>
      </c>
      <c r="W15" s="58" t="s">
        <v>21</v>
      </c>
      <c r="X15" s="58">
        <v>8.7190295109045218E-2</v>
      </c>
    </row>
    <row r="16" spans="2:28" ht="15" thickBot="1">
      <c r="B16">
        <v>2024</v>
      </c>
      <c r="C16" s="38">
        <v>106857603</v>
      </c>
      <c r="D16" s="43">
        <v>285997562.39621025</v>
      </c>
      <c r="G16">
        <v>2024</v>
      </c>
      <c r="H16">
        <v>106857603</v>
      </c>
      <c r="I16">
        <f t="shared" si="3"/>
        <v>28599.756239621027</v>
      </c>
      <c r="J16">
        <f t="shared" si="1"/>
        <v>4.4563623315822376</v>
      </c>
      <c r="K16">
        <v>14</v>
      </c>
      <c r="L16">
        <v>6</v>
      </c>
      <c r="W16" s="59" t="s">
        <v>22</v>
      </c>
      <c r="X16" s="59">
        <v>15</v>
      </c>
    </row>
    <row r="17" spans="2:33">
      <c r="B17">
        <v>2025</v>
      </c>
      <c r="C17" s="38">
        <v>83219175</v>
      </c>
      <c r="D17" s="41">
        <v>239211901.06991005</v>
      </c>
      <c r="G17">
        <v>2025</v>
      </c>
      <c r="H17">
        <v>83219175</v>
      </c>
      <c r="I17">
        <f t="shared" si="3"/>
        <v>23921.190106991005</v>
      </c>
      <c r="J17">
        <f t="shared" si="1"/>
        <v>4.378782782508754</v>
      </c>
      <c r="K17">
        <v>15</v>
      </c>
      <c r="L17">
        <v>7</v>
      </c>
    </row>
    <row r="18" spans="2:33" ht="15" thickBot="1">
      <c r="W18" t="s">
        <v>23</v>
      </c>
    </row>
    <row r="19" spans="2:33">
      <c r="W19" s="60"/>
      <c r="X19" s="60" t="s">
        <v>28</v>
      </c>
      <c r="Y19" s="60" t="s">
        <v>29</v>
      </c>
      <c r="Z19" s="60" t="s">
        <v>30</v>
      </c>
      <c r="AA19" s="60" t="s">
        <v>31</v>
      </c>
      <c r="AB19" s="60" t="s">
        <v>32</v>
      </c>
    </row>
    <row r="20" spans="2:33">
      <c r="W20" s="58" t="s">
        <v>24</v>
      </c>
      <c r="X20" s="58">
        <v>2</v>
      </c>
      <c r="Y20" s="58">
        <v>1.9154346432104532</v>
      </c>
      <c r="Z20" s="58">
        <v>0.9577173216052266</v>
      </c>
      <c r="AA20" s="58">
        <v>125.97983844630203</v>
      </c>
      <c r="AB20" s="58">
        <v>8.8279923430887039E-9</v>
      </c>
    </row>
    <row r="21" spans="2:33">
      <c r="W21" s="58" t="s">
        <v>25</v>
      </c>
      <c r="X21" s="58">
        <v>12</v>
      </c>
      <c r="Y21" s="58">
        <v>9.1225770734428738E-2</v>
      </c>
      <c r="Z21" s="58">
        <v>7.6021475612023945E-3</v>
      </c>
      <c r="AA21" s="58"/>
      <c r="AB21" s="58"/>
    </row>
    <row r="22" spans="2:33" ht="15" thickBot="1">
      <c r="W22" s="59" t="s">
        <v>26</v>
      </c>
      <c r="X22" s="59">
        <v>14</v>
      </c>
      <c r="Y22" s="59">
        <v>2.006660413944882</v>
      </c>
      <c r="Z22" s="59"/>
      <c r="AA22" s="59"/>
      <c r="AB22" s="59"/>
    </row>
    <row r="23" spans="2:33" ht="15" thickBot="1"/>
    <row r="24" spans="2:33">
      <c r="W24" s="60"/>
      <c r="X24" s="60" t="s">
        <v>33</v>
      </c>
      <c r="Y24" s="60" t="s">
        <v>21</v>
      </c>
      <c r="Z24" s="60" t="s">
        <v>34</v>
      </c>
      <c r="AA24" s="60" t="s">
        <v>35</v>
      </c>
      <c r="AB24" s="60" t="s">
        <v>36</v>
      </c>
      <c r="AC24" s="60" t="s">
        <v>37</v>
      </c>
      <c r="AD24" s="60" t="s">
        <v>38</v>
      </c>
      <c r="AE24" s="60" t="s">
        <v>39</v>
      </c>
    </row>
    <row r="25" spans="2:33">
      <c r="W25" s="58" t="s">
        <v>27</v>
      </c>
      <c r="X25" s="58">
        <v>3.3862495500860756</v>
      </c>
      <c r="Y25" s="58">
        <v>6.4772454868687893E-2</v>
      </c>
      <c r="Z25" s="58">
        <v>52.279160284274582</v>
      </c>
      <c r="AA25" s="58">
        <v>1.5770869155958272E-15</v>
      </c>
      <c r="AB25" s="58">
        <v>3.245122494409137</v>
      </c>
      <c r="AC25" s="58">
        <v>3.5273766057630143</v>
      </c>
      <c r="AD25" s="58">
        <v>3.245122494409137</v>
      </c>
      <c r="AE25" s="58">
        <v>3.5273766057630143</v>
      </c>
    </row>
    <row r="26" spans="2:33">
      <c r="W26" s="58" t="s">
        <v>14</v>
      </c>
      <c r="X26" s="58">
        <v>0.16686841247676532</v>
      </c>
      <c r="Y26" s="58">
        <v>1.1589808450357675E-2</v>
      </c>
      <c r="Z26" s="58">
        <v>14.397857668787923</v>
      </c>
      <c r="AA26" s="58">
        <v>6.2033661143991675E-9</v>
      </c>
      <c r="AB26" s="58">
        <v>0.14161638913174035</v>
      </c>
      <c r="AC26" s="58">
        <v>0.19212043582179028</v>
      </c>
      <c r="AD26" s="58">
        <v>0.14161638913174035</v>
      </c>
      <c r="AE26" s="58">
        <v>0.19212043582179028</v>
      </c>
      <c r="AG26">
        <f>(EXP(X26)-1)*100</f>
        <v>18.159877142226954</v>
      </c>
    </row>
    <row r="27" spans="2:33" ht="15" thickBot="1">
      <c r="W27" s="59" t="s">
        <v>15</v>
      </c>
      <c r="X27" s="59">
        <v>-0.20407057644262527</v>
      </c>
      <c r="Y27" s="59">
        <v>2.0704891490822927E-2</v>
      </c>
      <c r="Z27" s="59">
        <v>-9.8561529063350033</v>
      </c>
      <c r="AA27" s="59">
        <v>4.1873173965133334E-7</v>
      </c>
      <c r="AB27" s="59">
        <v>-0.2491826596596981</v>
      </c>
      <c r="AC27" s="59">
        <v>-0.15895849322555244</v>
      </c>
      <c r="AD27" s="59">
        <v>-0.2491826596596981</v>
      </c>
      <c r="AE27" s="59">
        <v>-0.15895849322555244</v>
      </c>
      <c r="AG27">
        <f>(EXP(X26+X27)-1)*100</f>
        <v>-3.651866554874883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BAB9-8C26-4118-8C39-03F238DB0973}">
  <dimension ref="B1:M57"/>
  <sheetViews>
    <sheetView workbookViewId="0">
      <selection activeCell="B2" sqref="B2:D17"/>
    </sheetView>
  </sheetViews>
  <sheetFormatPr defaultRowHeight="14.4"/>
  <cols>
    <col min="3" max="3" width="18" customWidth="1"/>
    <col min="4" max="7" width="18.33203125" customWidth="1"/>
  </cols>
  <sheetData>
    <row r="1" spans="2:7" ht="15" thickBot="1"/>
    <row r="2" spans="2:7" ht="47.4" customHeight="1">
      <c r="B2" s="49" t="s">
        <v>8</v>
      </c>
      <c r="C2" s="50" t="s">
        <v>12</v>
      </c>
      <c r="D2" s="51" t="s">
        <v>11</v>
      </c>
      <c r="E2" s="62"/>
      <c r="F2" s="62"/>
      <c r="G2" s="62"/>
    </row>
    <row r="3" spans="2:7">
      <c r="B3" s="52">
        <v>2011</v>
      </c>
      <c r="C3" s="53">
        <v>26603990</v>
      </c>
      <c r="D3" s="54">
        <v>4232.5657580070265</v>
      </c>
      <c r="E3" s="53"/>
      <c r="F3" s="53"/>
      <c r="G3" s="53"/>
    </row>
    <row r="4" spans="2:7">
      <c r="B4" s="52">
        <v>2012</v>
      </c>
      <c r="C4" s="53">
        <v>36895944</v>
      </c>
      <c r="D4" s="54">
        <v>5787.0857120869996</v>
      </c>
      <c r="E4" s="53"/>
      <c r="F4" s="53"/>
      <c r="G4" s="53"/>
    </row>
    <row r="5" spans="2:7">
      <c r="B5" s="52">
        <v>2013</v>
      </c>
      <c r="C5" s="53">
        <v>52163965</v>
      </c>
      <c r="D5" s="54">
        <v>7714.9155573400112</v>
      </c>
      <c r="E5" s="53"/>
      <c r="F5" s="53"/>
      <c r="G5" s="53"/>
    </row>
    <row r="6" spans="2:7">
      <c r="B6" s="52">
        <v>2014</v>
      </c>
      <c r="C6" s="53">
        <v>64662917</v>
      </c>
      <c r="D6" s="54">
        <v>9908.1230123010009</v>
      </c>
      <c r="E6" s="53"/>
      <c r="F6" s="53"/>
      <c r="G6" s="53"/>
    </row>
    <row r="7" spans="2:7">
      <c r="B7" s="52">
        <v>2015</v>
      </c>
      <c r="C7" s="53">
        <v>94969528</v>
      </c>
      <c r="D7" s="54">
        <v>14007.201897144003</v>
      </c>
      <c r="E7" s="53"/>
      <c r="F7" s="53"/>
      <c r="G7" s="53"/>
    </row>
    <row r="8" spans="2:7">
      <c r="B8" s="52">
        <v>2016</v>
      </c>
      <c r="C8" s="53">
        <v>129069978</v>
      </c>
      <c r="D8" s="54">
        <v>17091.923477069999</v>
      </c>
      <c r="E8" s="53"/>
      <c r="F8" s="53"/>
      <c r="G8" s="53"/>
    </row>
    <row r="9" spans="2:7">
      <c r="B9" s="52">
        <v>2017</v>
      </c>
      <c r="C9" s="53">
        <v>261256191</v>
      </c>
      <c r="D9" s="54">
        <v>35131.045477311054</v>
      </c>
      <c r="E9" s="53"/>
      <c r="F9" s="53"/>
      <c r="G9" s="53"/>
    </row>
    <row r="10" spans="2:7">
      <c r="B10" s="52">
        <v>2018</v>
      </c>
      <c r="C10" s="53">
        <v>367352976</v>
      </c>
      <c r="D10" s="54">
        <v>48306.202729240336</v>
      </c>
      <c r="E10" s="53"/>
      <c r="F10" s="53"/>
      <c r="G10" s="53"/>
    </row>
    <row r="11" spans="2:7">
      <c r="B11" s="52">
        <v>2019</v>
      </c>
      <c r="C11" s="53">
        <v>425640612</v>
      </c>
      <c r="D11" s="54">
        <v>58545.070215206993</v>
      </c>
      <c r="E11" s="53"/>
      <c r="F11" s="53"/>
      <c r="G11" s="53"/>
    </row>
    <row r="12" spans="2:7">
      <c r="B12" s="52">
        <v>2020</v>
      </c>
      <c r="C12" s="53">
        <v>318383225</v>
      </c>
      <c r="D12" s="54">
        <v>49839.818309291972</v>
      </c>
      <c r="E12" s="53"/>
      <c r="F12" s="53"/>
      <c r="G12" s="53"/>
    </row>
    <row r="13" spans="2:7">
      <c r="B13" s="52">
        <v>2021</v>
      </c>
      <c r="C13" s="53">
        <v>340400346</v>
      </c>
      <c r="D13" s="54">
        <v>60598.737951287978</v>
      </c>
      <c r="E13" s="53"/>
      <c r="F13" s="53"/>
      <c r="G13" s="53"/>
    </row>
    <row r="14" spans="2:7">
      <c r="B14" s="52">
        <v>2022</v>
      </c>
      <c r="C14" s="53">
        <v>205226473</v>
      </c>
      <c r="D14" s="54">
        <v>41197.586174720782</v>
      </c>
      <c r="E14" s="53"/>
      <c r="F14" s="53"/>
      <c r="G14" s="53"/>
    </row>
    <row r="15" spans="2:7">
      <c r="B15" s="52">
        <v>2023</v>
      </c>
      <c r="C15" s="53">
        <v>148520969</v>
      </c>
      <c r="D15" s="54">
        <v>33512.502870593991</v>
      </c>
      <c r="E15" s="53"/>
      <c r="F15" s="53"/>
      <c r="G15" s="53"/>
    </row>
    <row r="16" spans="2:7">
      <c r="B16" s="52">
        <v>2024</v>
      </c>
      <c r="C16" s="53">
        <v>106857603</v>
      </c>
      <c r="D16" s="54">
        <v>28599.756239621027</v>
      </c>
      <c r="E16" s="53"/>
      <c r="F16" s="53"/>
      <c r="G16" s="53"/>
    </row>
    <row r="17" spans="2:7" ht="15" thickBot="1">
      <c r="B17" s="55">
        <v>2025</v>
      </c>
      <c r="C17" s="56">
        <v>83219175</v>
      </c>
      <c r="D17" s="57">
        <v>23921.190106991005</v>
      </c>
      <c r="E17" s="53"/>
      <c r="F17" s="53"/>
      <c r="G17" s="53"/>
    </row>
    <row r="20" spans="2:7" ht="15" thickBot="1"/>
    <row r="21" spans="2:7" ht="43.2">
      <c r="B21" s="49" t="s">
        <v>8</v>
      </c>
      <c r="C21" s="50" t="s">
        <v>12</v>
      </c>
      <c r="D21" t="s">
        <v>42</v>
      </c>
      <c r="E21" t="s">
        <v>14</v>
      </c>
      <c r="F21" t="s">
        <v>15</v>
      </c>
    </row>
    <row r="22" spans="2:7">
      <c r="B22" s="52">
        <v>2011</v>
      </c>
      <c r="C22" s="53">
        <v>26603990</v>
      </c>
      <c r="D22">
        <f>LOG(C22)</f>
        <v>7.4249467759180279</v>
      </c>
      <c r="E22">
        <v>1</v>
      </c>
      <c r="F22">
        <v>0</v>
      </c>
    </row>
    <row r="23" spans="2:7">
      <c r="B23" s="52">
        <v>2012</v>
      </c>
      <c r="C23" s="53">
        <v>36895944</v>
      </c>
      <c r="D23">
        <f t="shared" ref="D23:D36" si="0">LOG(C23)</f>
        <v>7.5669786264507541</v>
      </c>
      <c r="E23">
        <v>2</v>
      </c>
      <c r="F23">
        <v>0</v>
      </c>
    </row>
    <row r="24" spans="2:7">
      <c r="B24" s="52">
        <v>2013</v>
      </c>
      <c r="C24" s="53">
        <v>52163965</v>
      </c>
      <c r="D24">
        <f t="shared" si="0"/>
        <v>7.7173705948437838</v>
      </c>
      <c r="E24">
        <v>3</v>
      </c>
      <c r="F24">
        <v>0</v>
      </c>
    </row>
    <row r="25" spans="2:7">
      <c r="B25" s="52">
        <v>2014</v>
      </c>
      <c r="C25" s="53">
        <v>64662917</v>
      </c>
      <c r="D25">
        <f t="shared" si="0"/>
        <v>7.810655292116385</v>
      </c>
      <c r="E25">
        <v>4</v>
      </c>
      <c r="F25">
        <v>0</v>
      </c>
    </row>
    <row r="26" spans="2:7">
      <c r="B26" s="52">
        <v>2015</v>
      </c>
      <c r="C26" s="53">
        <v>94969528</v>
      </c>
      <c r="D26">
        <f t="shared" si="0"/>
        <v>7.9775842795590277</v>
      </c>
      <c r="E26">
        <v>5</v>
      </c>
      <c r="F26">
        <v>0</v>
      </c>
    </row>
    <row r="27" spans="2:7">
      <c r="B27" s="52">
        <v>2016</v>
      </c>
      <c r="C27" s="53">
        <v>129069978</v>
      </c>
      <c r="D27">
        <f t="shared" si="0"/>
        <v>8.1108252360294024</v>
      </c>
      <c r="E27">
        <v>6</v>
      </c>
      <c r="F27">
        <v>0</v>
      </c>
    </row>
    <row r="28" spans="2:7">
      <c r="B28" s="52">
        <v>2017</v>
      </c>
      <c r="C28" s="53">
        <v>261256191</v>
      </c>
      <c r="D28">
        <f t="shared" si="0"/>
        <v>8.4170665907374058</v>
      </c>
      <c r="E28">
        <v>7</v>
      </c>
      <c r="F28">
        <v>0</v>
      </c>
    </row>
    <row r="29" spans="2:7">
      <c r="B29" s="52">
        <v>2018</v>
      </c>
      <c r="C29" s="53">
        <v>367352976</v>
      </c>
      <c r="D29">
        <f t="shared" si="0"/>
        <v>8.5650835625011865</v>
      </c>
      <c r="E29">
        <v>8</v>
      </c>
      <c r="F29">
        <v>0</v>
      </c>
    </row>
    <row r="30" spans="2:7">
      <c r="B30" s="52">
        <v>2019</v>
      </c>
      <c r="C30" s="53">
        <v>425640612</v>
      </c>
      <c r="D30">
        <f t="shared" si="0"/>
        <v>8.629043058962834</v>
      </c>
      <c r="E30">
        <v>9</v>
      </c>
      <c r="F30">
        <v>1</v>
      </c>
    </row>
    <row r="31" spans="2:7">
      <c r="B31" s="52">
        <v>2020</v>
      </c>
      <c r="C31" s="53">
        <v>318383225</v>
      </c>
      <c r="D31">
        <f t="shared" si="0"/>
        <v>8.5029501775271434</v>
      </c>
      <c r="E31">
        <v>10</v>
      </c>
      <c r="F31">
        <v>2</v>
      </c>
    </row>
    <row r="32" spans="2:7">
      <c r="B32" s="52">
        <v>2021</v>
      </c>
      <c r="C32" s="53">
        <v>340400346</v>
      </c>
      <c r="D32">
        <f t="shared" si="0"/>
        <v>8.5319899928514875</v>
      </c>
      <c r="E32">
        <v>11</v>
      </c>
      <c r="F32">
        <v>3</v>
      </c>
    </row>
    <row r="33" spans="2:6">
      <c r="B33" s="52">
        <v>2022</v>
      </c>
      <c r="C33" s="53">
        <v>205226473</v>
      </c>
      <c r="D33">
        <f t="shared" si="0"/>
        <v>8.3122333814702856</v>
      </c>
      <c r="E33">
        <v>12</v>
      </c>
      <c r="F33">
        <v>4</v>
      </c>
    </row>
    <row r="34" spans="2:6">
      <c r="B34" s="52">
        <v>2023</v>
      </c>
      <c r="C34" s="53">
        <v>148520969</v>
      </c>
      <c r="D34">
        <f t="shared" si="0"/>
        <v>8.1717877740444269</v>
      </c>
      <c r="E34">
        <v>13</v>
      </c>
      <c r="F34">
        <v>5</v>
      </c>
    </row>
    <row r="35" spans="2:6">
      <c r="B35" s="52">
        <v>2024</v>
      </c>
      <c r="C35" s="53">
        <v>106857603</v>
      </c>
      <c r="D35">
        <f t="shared" si="0"/>
        <v>8.0288054279832455</v>
      </c>
      <c r="E35">
        <v>14</v>
      </c>
      <c r="F35">
        <v>6</v>
      </c>
    </row>
    <row r="36" spans="2:6" ht="15" thickBot="1">
      <c r="B36" s="55">
        <v>2025</v>
      </c>
      <c r="C36" s="56">
        <v>83219175</v>
      </c>
      <c r="D36">
        <f t="shared" si="0"/>
        <v>7.9202234060649124</v>
      </c>
      <c r="E36">
        <v>15</v>
      </c>
      <c r="F36">
        <v>7</v>
      </c>
    </row>
    <row r="39" spans="2:6">
      <c r="C39" t="s">
        <v>16</v>
      </c>
    </row>
    <row r="40" spans="2:6" ht="15" thickBot="1"/>
    <row r="41" spans="2:6">
      <c r="C41" s="61" t="s">
        <v>17</v>
      </c>
      <c r="D41" s="61"/>
    </row>
    <row r="42" spans="2:6">
      <c r="C42" s="58" t="s">
        <v>18</v>
      </c>
      <c r="D42" s="58">
        <v>0.97361877132217789</v>
      </c>
    </row>
    <row r="43" spans="2:6">
      <c r="C43" s="58" t="s">
        <v>19</v>
      </c>
      <c r="D43" s="58">
        <v>0.94793351187090724</v>
      </c>
    </row>
    <row r="44" spans="2:6">
      <c r="C44" s="58" t="s">
        <v>20</v>
      </c>
      <c r="D44" s="58">
        <v>0.9392557638493918</v>
      </c>
    </row>
    <row r="45" spans="2:6">
      <c r="C45" s="58" t="s">
        <v>21</v>
      </c>
      <c r="D45" s="58">
        <v>9.3525881672563663E-2</v>
      </c>
    </row>
    <row r="46" spans="2:6" ht="15" thickBot="1">
      <c r="C46" s="59" t="s">
        <v>22</v>
      </c>
      <c r="D46" s="59">
        <v>15</v>
      </c>
    </row>
    <row r="48" spans="2:6" ht="15" thickBot="1">
      <c r="C48" t="s">
        <v>23</v>
      </c>
    </row>
    <row r="49" spans="3:13">
      <c r="C49" s="60"/>
      <c r="D49" s="60" t="s">
        <v>28</v>
      </c>
      <c r="E49" s="60" t="s">
        <v>29</v>
      </c>
      <c r="F49" s="60" t="s">
        <v>30</v>
      </c>
      <c r="G49" s="60" t="s">
        <v>31</v>
      </c>
      <c r="H49" s="60" t="s">
        <v>32</v>
      </c>
    </row>
    <row r="50" spans="3:13">
      <c r="C50" s="58" t="s">
        <v>24</v>
      </c>
      <c r="D50" s="58">
        <v>2</v>
      </c>
      <c r="E50" s="58">
        <v>1.9110165992767287</v>
      </c>
      <c r="F50" s="58">
        <v>0.95550829963836437</v>
      </c>
      <c r="G50" s="58">
        <v>109.23727095101373</v>
      </c>
      <c r="H50" s="58">
        <v>1.9922769653682601E-8</v>
      </c>
    </row>
    <row r="51" spans="3:13">
      <c r="C51" s="58" t="s">
        <v>25</v>
      </c>
      <c r="D51" s="58">
        <v>12</v>
      </c>
      <c r="E51" s="58">
        <v>0.10496508651156454</v>
      </c>
      <c r="F51" s="58">
        <v>8.7470905426303789E-3</v>
      </c>
      <c r="G51" s="58"/>
      <c r="H51" s="58"/>
    </row>
    <row r="52" spans="3:13" ht="15" thickBot="1">
      <c r="C52" s="59" t="s">
        <v>26</v>
      </c>
      <c r="D52" s="59">
        <v>14</v>
      </c>
      <c r="E52" s="59">
        <v>2.0159816857882933</v>
      </c>
      <c r="F52" s="59"/>
      <c r="G52" s="59"/>
      <c r="H52" s="59"/>
    </row>
    <row r="53" spans="3:13" ht="15" thickBot="1"/>
    <row r="54" spans="3:13">
      <c r="C54" s="60"/>
      <c r="D54" s="60" t="s">
        <v>33</v>
      </c>
      <c r="E54" s="60" t="s">
        <v>21</v>
      </c>
      <c r="F54" s="60" t="s">
        <v>34</v>
      </c>
      <c r="G54" s="60" t="s">
        <v>35</v>
      </c>
      <c r="H54" s="60" t="s">
        <v>36</v>
      </c>
      <c r="I54" s="60" t="s">
        <v>37</v>
      </c>
      <c r="J54" s="60" t="s">
        <v>38</v>
      </c>
      <c r="K54" s="60" t="s">
        <v>39</v>
      </c>
    </row>
    <row r="55" spans="3:13">
      <c r="C55" s="58" t="s">
        <v>27</v>
      </c>
      <c r="D55" s="58">
        <v>7.1604418622726183</v>
      </c>
      <c r="E55" s="58">
        <v>6.9479073813364364E-2</v>
      </c>
      <c r="F55" s="58">
        <v>103.05897113002823</v>
      </c>
      <c r="G55" s="58">
        <v>4.6627017717397733E-19</v>
      </c>
      <c r="H55" s="58">
        <v>7.0090599648546634</v>
      </c>
      <c r="I55" s="58">
        <v>7.3118237596905731</v>
      </c>
      <c r="J55" s="58">
        <v>7.0090599648546634</v>
      </c>
      <c r="K55" s="58">
        <v>7.3118237596905731</v>
      </c>
    </row>
    <row r="56" spans="3:13">
      <c r="C56" s="58" t="s">
        <v>14</v>
      </c>
      <c r="D56" s="58">
        <v>0.18196513203160938</v>
      </c>
      <c r="E56" s="58">
        <v>1.2431969089910563E-2</v>
      </c>
      <c r="F56" s="58">
        <v>14.636871336760898</v>
      </c>
      <c r="G56" s="58">
        <v>5.1418294651234209E-9</v>
      </c>
      <c r="H56" s="58">
        <v>0.15487819828048582</v>
      </c>
      <c r="I56" s="58">
        <v>0.20905206578273294</v>
      </c>
      <c r="J56" s="58">
        <v>0.15487819828048582</v>
      </c>
      <c r="K56" s="58">
        <v>0.20905206578273294</v>
      </c>
      <c r="M56">
        <f>(EXP(D56)-1)*100</f>
        <v>19.957236649929722</v>
      </c>
    </row>
    <row r="57" spans="3:13" ht="15" thickBot="1">
      <c r="C57" s="59" t="s">
        <v>15</v>
      </c>
      <c r="D57" s="59">
        <v>-0.26981784288650273</v>
      </c>
      <c r="E57" s="59">
        <v>2.2209389579335031E-2</v>
      </c>
      <c r="F57" s="59">
        <v>-12.148818495108829</v>
      </c>
      <c r="G57" s="59">
        <v>4.2148860346013406E-8</v>
      </c>
      <c r="H57" s="59">
        <v>-0.31820794584103557</v>
      </c>
      <c r="I57" s="59">
        <v>-0.2214277399319699</v>
      </c>
      <c r="J57" s="59">
        <v>-0.31820794584103557</v>
      </c>
      <c r="K57" s="59">
        <v>-0.2214277399319699</v>
      </c>
      <c r="M57">
        <f>(EXP(D57+D56)-1)*100</f>
        <v>-8.4104231706231491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26ED-D1F0-4FA5-B148-2ED5D73F0656}">
  <dimension ref="A1:L78"/>
  <sheetViews>
    <sheetView tabSelected="1" workbookViewId="0">
      <selection activeCell="K11" sqref="K11"/>
    </sheetView>
  </sheetViews>
  <sheetFormatPr defaultRowHeight="14.4"/>
  <cols>
    <col min="2" max="2" width="21.33203125" customWidth="1"/>
    <col min="3" max="3" width="17.5546875" customWidth="1"/>
    <col min="5" max="5" width="12" bestFit="1" customWidth="1"/>
    <col min="6" max="6" width="17" customWidth="1"/>
    <col min="7" max="7" width="16.6640625" customWidth="1"/>
    <col min="8" max="8" width="12" bestFit="1" customWidth="1"/>
    <col min="9" max="9" width="17.5546875" customWidth="1"/>
    <col min="10" max="10" width="16.77734375" customWidth="1"/>
    <col min="11" max="11" width="16.5546875" customWidth="1"/>
  </cols>
  <sheetData>
    <row r="1" spans="1:12" ht="15" thickBot="1">
      <c r="A1" s="63" t="s">
        <v>46</v>
      </c>
      <c r="B1" s="63"/>
      <c r="C1" s="63"/>
      <c r="E1" s="63" t="s">
        <v>47</v>
      </c>
      <c r="F1" s="63"/>
      <c r="G1" s="63"/>
      <c r="I1" s="63" t="s">
        <v>48</v>
      </c>
      <c r="J1" s="63"/>
      <c r="K1" s="63"/>
    </row>
    <row r="2" spans="1:12" ht="86.4" customHeight="1">
      <c r="A2" s="49" t="s">
        <v>8</v>
      </c>
      <c r="B2" s="51" t="s">
        <v>11</v>
      </c>
      <c r="C2" t="s">
        <v>49</v>
      </c>
      <c r="D2" s="49" t="s">
        <v>8</v>
      </c>
      <c r="E2" s="51" t="s">
        <v>11</v>
      </c>
      <c r="F2" t="s">
        <v>49</v>
      </c>
      <c r="G2" s="49" t="s">
        <v>8</v>
      </c>
      <c r="H2" s="51" t="s">
        <v>11</v>
      </c>
      <c r="I2" t="s">
        <v>49</v>
      </c>
      <c r="K2" t="s">
        <v>50</v>
      </c>
      <c r="L2" s="58">
        <v>3197293158.9086742</v>
      </c>
    </row>
    <row r="3" spans="1:12">
      <c r="A3" s="52">
        <v>2011</v>
      </c>
      <c r="B3" s="54">
        <v>4232.5657580070265</v>
      </c>
      <c r="C3">
        <v>1</v>
      </c>
      <c r="D3" s="52">
        <v>2011</v>
      </c>
      <c r="E3" s="54">
        <v>4232.5657580070265</v>
      </c>
      <c r="F3" s="64">
        <v>1</v>
      </c>
      <c r="G3" s="52">
        <v>2020</v>
      </c>
      <c r="H3" s="54">
        <v>49839.818309291972</v>
      </c>
      <c r="I3" s="64">
        <v>1</v>
      </c>
      <c r="K3" t="s">
        <v>51</v>
      </c>
      <c r="L3" s="58">
        <v>457528033.01760638</v>
      </c>
    </row>
    <row r="4" spans="1:12">
      <c r="A4" s="52">
        <v>2012</v>
      </c>
      <c r="B4" s="54">
        <v>5787.0857120869996</v>
      </c>
      <c r="C4">
        <v>2</v>
      </c>
      <c r="D4" s="52">
        <v>2012</v>
      </c>
      <c r="E4" s="54">
        <v>5787.0857120869996</v>
      </c>
      <c r="F4" s="64">
        <v>2</v>
      </c>
      <c r="G4" s="52">
        <v>2021</v>
      </c>
      <c r="H4" s="54">
        <v>60598.737951287978</v>
      </c>
      <c r="I4" s="64">
        <v>2</v>
      </c>
      <c r="K4" t="s">
        <v>52</v>
      </c>
      <c r="L4" s="58">
        <v>174850345.8340067</v>
      </c>
    </row>
    <row r="5" spans="1:12">
      <c r="A5" s="52">
        <v>2013</v>
      </c>
      <c r="B5" s="54">
        <v>7714.9155573400112</v>
      </c>
      <c r="C5">
        <v>3</v>
      </c>
      <c r="D5" s="52">
        <v>2013</v>
      </c>
      <c r="E5" s="54">
        <v>7714.9155573400112</v>
      </c>
      <c r="F5" s="64">
        <v>3</v>
      </c>
      <c r="G5" s="52">
        <v>2022</v>
      </c>
      <c r="H5" s="54">
        <v>41197.586174720782</v>
      </c>
      <c r="I5" s="64">
        <v>3</v>
      </c>
      <c r="K5" t="s">
        <v>53</v>
      </c>
      <c r="L5" s="58">
        <v>9</v>
      </c>
    </row>
    <row r="6" spans="1:12">
      <c r="A6" s="52">
        <v>2014</v>
      </c>
      <c r="B6" s="54">
        <v>9908.1230123010009</v>
      </c>
      <c r="C6">
        <v>4</v>
      </c>
      <c r="D6" s="52">
        <v>2014</v>
      </c>
      <c r="E6" s="54">
        <v>9908.1230123010009</v>
      </c>
      <c r="F6" s="64">
        <v>4</v>
      </c>
      <c r="G6" s="52">
        <v>2023</v>
      </c>
      <c r="H6" s="54">
        <v>33512.502870593991</v>
      </c>
      <c r="I6" s="64">
        <v>4</v>
      </c>
      <c r="K6" t="s">
        <v>54</v>
      </c>
      <c r="L6" s="58">
        <v>6</v>
      </c>
    </row>
    <row r="7" spans="1:12">
      <c r="A7" s="52">
        <v>2015</v>
      </c>
      <c r="B7" s="54">
        <v>14007.201897144003</v>
      </c>
      <c r="C7">
        <v>5</v>
      </c>
      <c r="D7" s="52">
        <v>2015</v>
      </c>
      <c r="E7" s="54">
        <v>14007.201897144003</v>
      </c>
      <c r="F7" s="64">
        <v>5</v>
      </c>
      <c r="G7" s="52">
        <v>2024</v>
      </c>
      <c r="H7" s="54">
        <v>28599.756239621027</v>
      </c>
      <c r="I7" s="64">
        <v>5</v>
      </c>
      <c r="K7" t="s">
        <v>55</v>
      </c>
      <c r="L7">
        <v>2</v>
      </c>
    </row>
    <row r="8" spans="1:12" ht="15" thickBot="1">
      <c r="A8" s="52">
        <v>2016</v>
      </c>
      <c r="B8" s="54">
        <v>17091.923477069999</v>
      </c>
      <c r="C8">
        <v>6</v>
      </c>
      <c r="D8" s="52">
        <v>2016</v>
      </c>
      <c r="E8" s="54">
        <v>17091.923477069999</v>
      </c>
      <c r="F8" s="64">
        <v>6</v>
      </c>
      <c r="G8" s="55">
        <v>2025</v>
      </c>
      <c r="H8" s="57">
        <v>23921.190106991005</v>
      </c>
      <c r="I8" s="64">
        <v>6</v>
      </c>
    </row>
    <row r="9" spans="1:12">
      <c r="A9" s="52">
        <v>2017</v>
      </c>
      <c r="B9" s="54">
        <v>35131.045477311054</v>
      </c>
      <c r="C9">
        <v>7</v>
      </c>
      <c r="D9" s="52">
        <v>2017</v>
      </c>
      <c r="E9" s="54">
        <v>35131.045477311054</v>
      </c>
      <c r="F9" s="64">
        <v>7</v>
      </c>
    </row>
    <row r="10" spans="1:12">
      <c r="A10" s="52">
        <v>2018</v>
      </c>
      <c r="B10" s="54">
        <v>48306.202729240336</v>
      </c>
      <c r="C10">
        <v>8</v>
      </c>
      <c r="D10" s="52">
        <v>2018</v>
      </c>
      <c r="E10" s="54">
        <v>48306.202729240336</v>
      </c>
      <c r="F10" s="64">
        <v>8</v>
      </c>
    </row>
    <row r="11" spans="1:12">
      <c r="A11" s="52">
        <v>2019</v>
      </c>
      <c r="B11" s="54">
        <v>58545.070215206993</v>
      </c>
      <c r="C11">
        <v>9</v>
      </c>
      <c r="D11" s="52">
        <v>2019</v>
      </c>
      <c r="E11" s="54">
        <v>58545.070215206993</v>
      </c>
      <c r="F11" s="64">
        <v>9</v>
      </c>
      <c r="J11" t="s">
        <v>57</v>
      </c>
      <c r="K11">
        <f>((L2-(L3+L4))/L7) / ((L3+L4)/(L5+L6-2*L7))</f>
        <v>22.307896288187354</v>
      </c>
    </row>
    <row r="12" spans="1:12">
      <c r="A12" s="52">
        <v>2020</v>
      </c>
      <c r="B12" s="54">
        <v>49839.818309291972</v>
      </c>
      <c r="C12">
        <v>10</v>
      </c>
    </row>
    <row r="13" spans="1:12">
      <c r="A13" s="52">
        <v>2021</v>
      </c>
      <c r="B13" s="54">
        <v>60598.737951287978</v>
      </c>
      <c r="C13">
        <v>11</v>
      </c>
      <c r="H13" t="s">
        <v>50</v>
      </c>
      <c r="I13" s="58">
        <v>3197293158.9086742</v>
      </c>
      <c r="J13" t="s">
        <v>56</v>
      </c>
      <c r="K13">
        <f>_xlfn.F.DIST.RT(K11, L7, L5+L6-2*L7)</f>
        <v>1.3460774521020471E-4</v>
      </c>
    </row>
    <row r="14" spans="1:12">
      <c r="A14" s="52">
        <v>2022</v>
      </c>
      <c r="B14" s="54">
        <v>41197.586174720782</v>
      </c>
      <c r="C14">
        <v>12</v>
      </c>
      <c r="H14" t="s">
        <v>51</v>
      </c>
      <c r="I14" s="58">
        <v>457528033.01760638</v>
      </c>
    </row>
    <row r="15" spans="1:12">
      <c r="A15" s="52">
        <v>2023</v>
      </c>
      <c r="B15" s="54">
        <v>33512.502870593991</v>
      </c>
      <c r="C15">
        <v>13</v>
      </c>
      <c r="H15" t="s">
        <v>52</v>
      </c>
      <c r="I15" s="58">
        <v>174850345.8340067</v>
      </c>
      <c r="J15" t="s">
        <v>58</v>
      </c>
      <c r="K15">
        <f>_xlfn.F.INV.RT(0.05, L7, L5+L6-2*L7)</f>
        <v>3.9822979570944854</v>
      </c>
    </row>
    <row r="16" spans="1:12">
      <c r="A16" s="52">
        <v>2024</v>
      </c>
      <c r="B16" s="54">
        <v>28599.756239621027</v>
      </c>
      <c r="C16">
        <v>14</v>
      </c>
      <c r="H16" t="s">
        <v>53</v>
      </c>
      <c r="I16" s="58">
        <v>9</v>
      </c>
    </row>
    <row r="17" spans="1:11" ht="15" thickBot="1">
      <c r="A17" s="55">
        <v>2025</v>
      </c>
      <c r="B17" s="57">
        <v>23921.190106991005</v>
      </c>
      <c r="C17">
        <v>15</v>
      </c>
      <c r="H17" t="s">
        <v>54</v>
      </c>
      <c r="I17" s="58">
        <v>6</v>
      </c>
    </row>
    <row r="18" spans="1:11">
      <c r="H18" t="s">
        <v>55</v>
      </c>
      <c r="I18">
        <v>2</v>
      </c>
    </row>
    <row r="19" spans="1:11">
      <c r="K19" t="s">
        <v>59</v>
      </c>
    </row>
    <row r="20" spans="1:11">
      <c r="K20" t="s">
        <v>60</v>
      </c>
    </row>
    <row r="21" spans="1:11">
      <c r="A21" t="s">
        <v>16</v>
      </c>
    </row>
    <row r="22" spans="1:11" ht="15" thickBot="1"/>
    <row r="23" spans="1:11">
      <c r="A23" s="61" t="s">
        <v>17</v>
      </c>
      <c r="B23" s="61"/>
    </row>
    <row r="24" spans="1:11">
      <c r="A24" s="58" t="s">
        <v>18</v>
      </c>
      <c r="B24" s="58">
        <v>0.62499118192532965</v>
      </c>
    </row>
    <row r="25" spans="1:11">
      <c r="A25" s="58" t="s">
        <v>19</v>
      </c>
      <c r="B25" s="58">
        <v>0.3906139774844205</v>
      </c>
    </row>
    <row r="26" spans="1:11">
      <c r="A26" s="58" t="s">
        <v>20</v>
      </c>
      <c r="B26" s="58">
        <v>0.34373812959860667</v>
      </c>
    </row>
    <row r="27" spans="1:11">
      <c r="A27" s="58" t="s">
        <v>21</v>
      </c>
      <c r="B27" s="58">
        <v>15682.653717032699</v>
      </c>
    </row>
    <row r="28" spans="1:11" ht="15" thickBot="1">
      <c r="A28" s="59" t="s">
        <v>22</v>
      </c>
      <c r="B28" s="59">
        <v>15</v>
      </c>
    </row>
    <row r="30" spans="1:11" ht="15" thickBot="1">
      <c r="A30" t="s">
        <v>23</v>
      </c>
    </row>
    <row r="31" spans="1:11">
      <c r="A31" s="60"/>
      <c r="B31" s="60" t="s">
        <v>28</v>
      </c>
      <c r="C31" s="60" t="s">
        <v>29</v>
      </c>
      <c r="D31" s="60" t="s">
        <v>30</v>
      </c>
      <c r="E31" s="60" t="s">
        <v>31</v>
      </c>
      <c r="F31" s="60" t="s">
        <v>32</v>
      </c>
    </row>
    <row r="32" spans="1:11">
      <c r="A32" s="58" t="s">
        <v>24</v>
      </c>
      <c r="B32" s="58">
        <v>1</v>
      </c>
      <c r="C32" s="58">
        <v>2049451992.3996372</v>
      </c>
      <c r="D32" s="58">
        <v>2049451992.3996372</v>
      </c>
      <c r="E32" s="58">
        <v>8.3329474580583174</v>
      </c>
      <c r="F32" s="58">
        <v>1.2729085920143638E-2</v>
      </c>
    </row>
    <row r="33" spans="1:9">
      <c r="A33" s="58" t="s">
        <v>25</v>
      </c>
      <c r="B33" s="58">
        <v>13</v>
      </c>
      <c r="C33" s="58">
        <v>3197293158.9086742</v>
      </c>
      <c r="D33" s="58">
        <v>245945627.60835955</v>
      </c>
      <c r="E33" s="58"/>
      <c r="F33" s="58"/>
    </row>
    <row r="34" spans="1:9" ht="15" thickBot="1">
      <c r="A34" s="59" t="s">
        <v>26</v>
      </c>
      <c r="B34" s="59">
        <v>14</v>
      </c>
      <c r="C34" s="59">
        <v>5246745151.3083115</v>
      </c>
      <c r="D34" s="59"/>
      <c r="E34" s="59"/>
      <c r="F34" s="59"/>
    </row>
    <row r="35" spans="1:9" ht="15" thickBot="1"/>
    <row r="36" spans="1:9">
      <c r="A36" s="60"/>
      <c r="B36" s="60" t="s">
        <v>33</v>
      </c>
      <c r="C36" s="60" t="s">
        <v>21</v>
      </c>
      <c r="D36" s="60" t="s">
        <v>34</v>
      </c>
      <c r="E36" s="60" t="s">
        <v>35</v>
      </c>
      <c r="F36" s="60" t="s">
        <v>36</v>
      </c>
      <c r="G36" s="60" t="s">
        <v>37</v>
      </c>
      <c r="H36" s="60" t="s">
        <v>38</v>
      </c>
      <c r="I36" s="60" t="s">
        <v>39</v>
      </c>
    </row>
    <row r="37" spans="1:9">
      <c r="A37" s="58" t="s">
        <v>27</v>
      </c>
      <c r="B37" s="58">
        <v>7582.6310690577266</v>
      </c>
      <c r="C37" s="58">
        <v>8521.2979426393704</v>
      </c>
      <c r="D37" s="58">
        <v>0.88984461288641403</v>
      </c>
      <c r="E37" s="58">
        <v>0.38971972554507672</v>
      </c>
      <c r="F37" s="58">
        <v>-10826.513918601249</v>
      </c>
      <c r="G37" s="58">
        <v>25991.776056716702</v>
      </c>
      <c r="H37" s="58">
        <v>-10826.513918601249</v>
      </c>
      <c r="I37" s="58">
        <v>25991.776056716702</v>
      </c>
    </row>
    <row r="38" spans="1:9" ht="15" thickBot="1">
      <c r="A38" s="59" t="s">
        <v>49</v>
      </c>
      <c r="B38" s="59">
        <v>2705.4521621029021</v>
      </c>
      <c r="C38" s="59">
        <v>937.21781964409263</v>
      </c>
      <c r="D38" s="59">
        <v>2.8866845096162326</v>
      </c>
      <c r="E38" s="59">
        <v>1.2729085920143686E-2</v>
      </c>
      <c r="F38" s="59">
        <v>680.71616026540573</v>
      </c>
      <c r="G38" s="59">
        <v>4730.1881639403982</v>
      </c>
      <c r="H38" s="59">
        <v>680.71616026540573</v>
      </c>
      <c r="I38" s="59">
        <v>4730.1881639403982</v>
      </c>
    </row>
    <row r="41" spans="1:9">
      <c r="A41" t="s">
        <v>16</v>
      </c>
    </row>
    <row r="42" spans="1:9" ht="15" thickBot="1"/>
    <row r="43" spans="1:9">
      <c r="A43" s="61" t="s">
        <v>17</v>
      </c>
      <c r="B43" s="61"/>
    </row>
    <row r="44" spans="1:9">
      <c r="A44" s="58" t="s">
        <v>18</v>
      </c>
      <c r="B44" s="58">
        <v>0.92613800120588419</v>
      </c>
    </row>
    <row r="45" spans="1:9">
      <c r="A45" s="58" t="s">
        <v>19</v>
      </c>
      <c r="B45" s="58">
        <v>0.85773159727763026</v>
      </c>
    </row>
    <row r="46" spans="1:9">
      <c r="A46" s="58" t="s">
        <v>20</v>
      </c>
      <c r="B46" s="58">
        <v>0.83740753974586313</v>
      </c>
    </row>
    <row r="47" spans="1:9">
      <c r="A47" s="58" t="s">
        <v>21</v>
      </c>
      <c r="B47" s="58">
        <v>8084.6241454964229</v>
      </c>
    </row>
    <row r="48" spans="1:9" ht="15" thickBot="1">
      <c r="A48" s="59" t="s">
        <v>22</v>
      </c>
      <c r="B48" s="59">
        <v>9</v>
      </c>
    </row>
    <row r="50" spans="1:9" ht="15" thickBot="1">
      <c r="A50" t="s">
        <v>23</v>
      </c>
    </row>
    <row r="51" spans="1:9">
      <c r="A51" s="60"/>
      <c r="B51" s="60" t="s">
        <v>28</v>
      </c>
      <c r="C51" s="60" t="s">
        <v>29</v>
      </c>
      <c r="D51" s="60" t="s">
        <v>30</v>
      </c>
      <c r="E51" s="60" t="s">
        <v>31</v>
      </c>
      <c r="F51" s="60" t="s">
        <v>32</v>
      </c>
    </row>
    <row r="52" spans="1:9">
      <c r="A52" s="58" t="s">
        <v>24</v>
      </c>
      <c r="B52" s="58">
        <v>1</v>
      </c>
      <c r="C52" s="58">
        <v>2758421708.8969851</v>
      </c>
      <c r="D52" s="58">
        <v>2758421708.8969851</v>
      </c>
      <c r="E52" s="58">
        <v>42.202773532645715</v>
      </c>
      <c r="F52" s="58">
        <v>3.3527741342928254E-4</v>
      </c>
    </row>
    <row r="53" spans="1:9">
      <c r="A53" s="58" t="s">
        <v>25</v>
      </c>
      <c r="B53" s="58">
        <v>7</v>
      </c>
      <c r="C53" s="58">
        <v>457528033.01760638</v>
      </c>
      <c r="D53" s="58">
        <v>65361147.573943771</v>
      </c>
      <c r="E53" s="58"/>
      <c r="F53" s="58"/>
    </row>
    <row r="54" spans="1:9" ht="15" thickBot="1">
      <c r="A54" s="59" t="s">
        <v>26</v>
      </c>
      <c r="B54" s="59">
        <v>8</v>
      </c>
      <c r="C54" s="59">
        <v>3215949741.9145913</v>
      </c>
      <c r="D54" s="59"/>
      <c r="E54" s="59"/>
      <c r="F54" s="59"/>
    </row>
    <row r="55" spans="1:9" ht="15" thickBot="1"/>
    <row r="56" spans="1:9">
      <c r="A56" s="60"/>
      <c r="B56" s="60" t="s">
        <v>33</v>
      </c>
      <c r="C56" s="60" t="s">
        <v>21</v>
      </c>
      <c r="D56" s="60" t="s">
        <v>34</v>
      </c>
      <c r="E56" s="60" t="s">
        <v>35</v>
      </c>
      <c r="F56" s="60" t="s">
        <v>36</v>
      </c>
      <c r="G56" s="60" t="s">
        <v>37</v>
      </c>
      <c r="H56" s="60" t="s">
        <v>38</v>
      </c>
      <c r="I56" s="60" t="s">
        <v>39</v>
      </c>
    </row>
    <row r="57" spans="1:9">
      <c r="A57" s="58" t="s">
        <v>27</v>
      </c>
      <c r="B57" s="58">
        <v>-11599.270894780078</v>
      </c>
      <c r="C57" s="58">
        <v>5873.343274454629</v>
      </c>
      <c r="D57" s="58">
        <v>-1.9749008959223708</v>
      </c>
      <c r="E57" s="58">
        <v>8.8847102851655493E-2</v>
      </c>
      <c r="F57" s="58">
        <v>-25487.520839484874</v>
      </c>
      <c r="G57" s="58">
        <v>2288.9790499247156</v>
      </c>
      <c r="H57" s="58">
        <v>-25487.520839484874</v>
      </c>
      <c r="I57" s="58">
        <v>2288.9790499247156</v>
      </c>
    </row>
    <row r="58" spans="1:9" ht="15" thickBot="1">
      <c r="A58" s="59" t="s">
        <v>49</v>
      </c>
      <c r="B58" s="59">
        <v>6780.3904864161814</v>
      </c>
      <c r="C58" s="59">
        <v>1043.7204891951337</v>
      </c>
      <c r="D58" s="59">
        <v>6.4963661790762464</v>
      </c>
      <c r="E58" s="59">
        <v>3.3527741342928254E-4</v>
      </c>
      <c r="F58" s="59">
        <v>4312.3837057810833</v>
      </c>
      <c r="G58" s="59">
        <v>9248.3972670512794</v>
      </c>
      <c r="H58" s="59">
        <v>4312.3837057810833</v>
      </c>
      <c r="I58" s="59">
        <v>9248.3972670512794</v>
      </c>
    </row>
    <row r="61" spans="1:9">
      <c r="A61" t="s">
        <v>16</v>
      </c>
    </row>
    <row r="62" spans="1:9" ht="15" thickBot="1"/>
    <row r="63" spans="1:9">
      <c r="A63" s="61" t="s">
        <v>17</v>
      </c>
      <c r="B63" s="61"/>
    </row>
    <row r="64" spans="1:9">
      <c r="A64" s="58" t="s">
        <v>18</v>
      </c>
      <c r="B64" s="58">
        <v>0.90353751482364164</v>
      </c>
    </row>
    <row r="65" spans="1:9">
      <c r="A65" s="58" t="s">
        <v>19</v>
      </c>
      <c r="B65" s="58">
        <v>0.81638004069368242</v>
      </c>
    </row>
    <row r="66" spans="1:9">
      <c r="A66" s="58" t="s">
        <v>20</v>
      </c>
      <c r="B66" s="58">
        <v>0.770475050867103</v>
      </c>
    </row>
    <row r="67" spans="1:9">
      <c r="A67" s="58" t="s">
        <v>21</v>
      </c>
      <c r="B67" s="58">
        <v>6611.5494748584979</v>
      </c>
    </row>
    <row r="68" spans="1:9" ht="15" thickBot="1">
      <c r="A68" s="59" t="s">
        <v>22</v>
      </c>
      <c r="B68" s="59">
        <v>6</v>
      </c>
    </row>
    <row r="70" spans="1:9" ht="15" thickBot="1">
      <c r="A70" t="s">
        <v>23</v>
      </c>
    </row>
    <row r="71" spans="1:9">
      <c r="A71" s="60"/>
      <c r="B71" s="60" t="s">
        <v>28</v>
      </c>
      <c r="C71" s="60" t="s">
        <v>29</v>
      </c>
      <c r="D71" s="60" t="s">
        <v>30</v>
      </c>
      <c r="E71" s="60" t="s">
        <v>31</v>
      </c>
      <c r="F71" s="60" t="s">
        <v>32</v>
      </c>
    </row>
    <row r="72" spans="1:9">
      <c r="A72" s="58" t="s">
        <v>24</v>
      </c>
      <c r="B72" s="58">
        <v>1</v>
      </c>
      <c r="C72" s="58">
        <v>777390066.88887537</v>
      </c>
      <c r="D72" s="58">
        <v>777390066.88887537</v>
      </c>
      <c r="E72" s="58">
        <v>17.784124204750199</v>
      </c>
      <c r="F72" s="58">
        <v>1.3508724324534177E-2</v>
      </c>
    </row>
    <row r="73" spans="1:9">
      <c r="A73" s="58" t="s">
        <v>25</v>
      </c>
      <c r="B73" s="58">
        <v>4</v>
      </c>
      <c r="C73" s="58">
        <v>174850345.8340067</v>
      </c>
      <c r="D73" s="58">
        <v>43712586.458501674</v>
      </c>
      <c r="E73" s="58"/>
      <c r="F73" s="58"/>
    </row>
    <row r="74" spans="1:9" ht="15" thickBot="1">
      <c r="A74" s="59" t="s">
        <v>26</v>
      </c>
      <c r="B74" s="59">
        <v>5</v>
      </c>
      <c r="C74" s="59">
        <v>952240412.72288203</v>
      </c>
      <c r="D74" s="59"/>
      <c r="E74" s="59"/>
      <c r="F74" s="59"/>
    </row>
    <row r="75" spans="1:9" ht="15" thickBot="1"/>
    <row r="76" spans="1:9">
      <c r="A76" s="60"/>
      <c r="B76" s="60" t="s">
        <v>33</v>
      </c>
      <c r="C76" s="60" t="s">
        <v>21</v>
      </c>
      <c r="D76" s="60" t="s">
        <v>34</v>
      </c>
      <c r="E76" s="60" t="s">
        <v>35</v>
      </c>
      <c r="F76" s="60" t="s">
        <v>36</v>
      </c>
      <c r="G76" s="60" t="s">
        <v>37</v>
      </c>
      <c r="H76" s="60" t="s">
        <v>38</v>
      </c>
      <c r="I76" s="60" t="s">
        <v>39</v>
      </c>
    </row>
    <row r="77" spans="1:9">
      <c r="A77" s="58" t="s">
        <v>27</v>
      </c>
      <c r="B77" s="58">
        <v>62939.115553814379</v>
      </c>
      <c r="C77" s="58">
        <v>6155.0175952119034</v>
      </c>
      <c r="D77" s="58">
        <v>10.225659728865084</v>
      </c>
      <c r="E77" s="58">
        <v>5.1545635591248272E-4</v>
      </c>
      <c r="F77" s="58">
        <v>45850.047079181997</v>
      </c>
      <c r="G77" s="58">
        <v>80028.184028446762</v>
      </c>
      <c r="H77" s="58">
        <v>45850.047079181997</v>
      </c>
      <c r="I77" s="58">
        <v>80028.184028446762</v>
      </c>
    </row>
    <row r="78" spans="1:9" ht="15" thickBot="1">
      <c r="A78" s="59" t="s">
        <v>49</v>
      </c>
      <c r="B78" s="59">
        <v>-6665.0048414466446</v>
      </c>
      <c r="C78" s="59">
        <v>1580.4626168761324</v>
      </c>
      <c r="D78" s="59">
        <v>-4.2171227400622593</v>
      </c>
      <c r="E78" s="59">
        <v>1.3508724324534154E-2</v>
      </c>
      <c r="F78" s="59">
        <v>-11053.072538020479</v>
      </c>
      <c r="G78" s="59">
        <v>-2276.9371448728116</v>
      </c>
      <c r="H78" s="59">
        <v>-11053.072538020479</v>
      </c>
      <c r="I78" s="59">
        <v>-2276.9371448728116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yoy cc data</vt:lpstr>
      <vt:lpstr>refined</vt:lpstr>
      <vt:lpstr>Sheet1</vt:lpstr>
      <vt:lpstr>yoy dc data</vt:lpstr>
      <vt:lpstr>refined2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sanway_local</dc:creator>
  <cp:lastModifiedBy>Sanway Sen</cp:lastModifiedBy>
  <dcterms:created xsi:type="dcterms:W3CDTF">2015-06-05T18:17:20Z</dcterms:created>
  <dcterms:modified xsi:type="dcterms:W3CDTF">2025-11-03T12:43:17Z</dcterms:modified>
</cp:coreProperties>
</file>