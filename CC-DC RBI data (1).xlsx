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LENOVO\Desktop\paper presentation\"/>
    </mc:Choice>
  </mc:AlternateContent>
  <xr:revisionPtr revIDLastSave="0" documentId="13_ncr:1_{95EE12FF-DB56-4B57-82C2-9BE8DCF862E4}" xr6:coauthVersionLast="36" xr6:coauthVersionMax="47" xr10:uidLastSave="{00000000-0000-0000-0000-000000000000}"/>
  <bookViews>
    <workbookView xWindow="-105" yWindow="-105" windowWidth="23250" windowHeight="12570" firstSheet="1" activeTab="1" xr2:uid="{00000000-000D-0000-FFFF-FFFF00000000}"/>
  </bookViews>
  <sheets>
    <sheet name="yoy cc data" sheetId="1" r:id="rId1"/>
    <sheet name="refi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1" l="1"/>
  <c r="B28" i="1"/>
  <c r="B29" i="1"/>
  <c r="B30" i="1"/>
  <c r="B31" i="1"/>
  <c r="B19" i="1"/>
  <c r="B20" i="1"/>
  <c r="B21" i="1"/>
  <c r="B22" i="1"/>
  <c r="B23" i="1"/>
  <c r="B24" i="1"/>
  <c r="B25" i="1"/>
  <c r="B26" i="1"/>
  <c r="B27" i="1"/>
  <c r="B18" i="1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1" i="2"/>
  <c r="D12" i="2"/>
  <c r="D13" i="2"/>
  <c r="D14" i="2"/>
  <c r="D15" i="2"/>
  <c r="D16" i="2"/>
  <c r="D17" i="2"/>
  <c r="D10" i="2"/>
  <c r="D8" i="2"/>
  <c r="D9" i="2"/>
  <c r="D7" i="2"/>
  <c r="D4" i="2"/>
  <c r="D5" i="2"/>
  <c r="D6" i="2"/>
  <c r="D3" i="2"/>
</calcChain>
</file>

<file path=xl/sharedStrings.xml><?xml version="1.0" encoding="utf-8"?>
<sst xmlns="http://schemas.openxmlformats.org/spreadsheetml/2006/main" count="18" uniqueCount="8">
  <si>
    <t>YEARS</t>
  </si>
  <si>
    <t>PoS VOLUME</t>
  </si>
  <si>
    <t>PoS VALUE (in 000s)</t>
  </si>
  <si>
    <t>millions</t>
  </si>
  <si>
    <t>lakhs</t>
  </si>
  <si>
    <t>thousands</t>
  </si>
  <si>
    <t>PoS VALUE (in Rs. crores)</t>
  </si>
  <si>
    <t>PoS VOLUME (in 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</si>
</sst>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&quot;Bookman Old Style&quot;"/>
    </font>
    <font>
      <b/>
      <sz val="10"/>
      <color theme="1"/>
      <name val="Arial"/>
      <family val="2"/>
    </font>
    <font>
      <b/>
      <sz val="8"/>
      <color rgb="FF000000"/>
      <name val="&quot;Bookman Old Style&quot;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7"/>
      <name val="Arial"/>
      <family val="2"/>
    </font>
    <font>
      <b/>
      <sz val="10"/>
      <color theme="9"/>
      <name val="Arial"/>
      <family val="2"/>
    </font>
    <font>
      <b/>
      <sz val="10"/>
      <color theme="9"/>
      <name val="&quot;Bookman Old Style&quot;"/>
    </font>
    <font>
      <sz val="10"/>
      <color theme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1" fillId="0" borderId="0" xfId="0" applyFont="1"/>
    <xf numFmtId="1" fontId="3" fillId="2" borderId="1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top"/>
    </xf>
    <xf numFmtId="0" fontId="8" fillId="0" borderId="0" xfId="0" applyFont="1"/>
    <xf numFmtId="0" fontId="9" fillId="0" borderId="0" xfId="0" applyFont="1"/>
    <xf numFmtId="1" fontId="10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/>
    </xf>
    <xf numFmtId="1" fontId="13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>
      <alignment horizontal="right" vertical="top"/>
    </xf>
    <xf numFmtId="1" fontId="14" fillId="2" borderId="1" xfId="0" applyNumberFormat="1" applyFont="1" applyFill="1" applyBorder="1" applyAlignment="1">
      <alignment horizontal="right"/>
    </xf>
    <xf numFmtId="2" fontId="9" fillId="0" borderId="0" xfId="0" applyNumberFormat="1" applyFont="1"/>
    <xf numFmtId="1" fontId="3" fillId="4" borderId="5" xfId="0" applyNumberFormat="1" applyFont="1" applyFill="1" applyBorder="1" applyAlignment="1">
      <alignment horizontal="right"/>
    </xf>
    <xf numFmtId="0" fontId="9" fillId="3" borderId="7" xfId="0" applyFont="1" applyFill="1" applyBorder="1"/>
    <xf numFmtId="1" fontId="4" fillId="4" borderId="5" xfId="0" applyNumberFormat="1" applyFont="1" applyFill="1" applyBorder="1" applyAlignment="1">
      <alignment horizontal="right" vertical="top"/>
    </xf>
    <xf numFmtId="1" fontId="5" fillId="4" borderId="5" xfId="0" applyNumberFormat="1" applyFont="1" applyFill="1" applyBorder="1" applyAlignment="1">
      <alignment horizontal="right"/>
    </xf>
    <xf numFmtId="1" fontId="4" fillId="4" borderId="5" xfId="0" applyNumberFormat="1" applyFont="1" applyFill="1" applyBorder="1" applyAlignment="1">
      <alignment horizontal="right"/>
    </xf>
    <xf numFmtId="1" fontId="4" fillId="4" borderId="9" xfId="0" applyNumberFormat="1" applyFont="1" applyFill="1" applyBorder="1" applyAlignment="1">
      <alignment horizontal="right"/>
    </xf>
    <xf numFmtId="0" fontId="9" fillId="3" borderId="10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 applyAlignment="1">
      <alignment wrapText="1"/>
    </xf>
    <xf numFmtId="0" fontId="9" fillId="6" borderId="6" xfId="0" applyFont="1" applyFill="1" applyBorder="1"/>
    <xf numFmtId="0" fontId="9" fillId="6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cc data'!$N$3</c:f>
              <c:strCache>
                <c:ptCount val="1"/>
                <c:pt idx="0">
                  <c:v>PoS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'yoy cc data'!$M$4:$M$18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'yoy cc data'!$N$4:$N$18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4-4BF8-95FC-28224A2B4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53135"/>
        <c:axId val="1411153551"/>
      </c:lineChart>
      <c:catAx>
        <c:axId val="1411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551"/>
        <c:crosses val="autoZero"/>
        <c:auto val="1"/>
        <c:lblAlgn val="ctr"/>
        <c:lblOffset val="100"/>
        <c:noMultiLvlLbl val="0"/>
      </c:catAx>
      <c:valAx>
        <c:axId val="141115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xVal>
          <c:y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8E-4E01-AEC5-3042B1DC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17855"/>
        <c:axId val="1543518271"/>
      </c:scatterChart>
      <c:valAx>
        <c:axId val="154351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8271"/>
        <c:crosses val="autoZero"/>
        <c:crossBetween val="midCat"/>
      </c:valAx>
      <c:valAx>
        <c:axId val="154351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1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xVal>
          <c:y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19-411E-8303-0E520FC62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888463"/>
        <c:axId val="1543885551"/>
      </c:scatterChart>
      <c:valAx>
        <c:axId val="154388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885551"/>
        <c:crosses val="autoZero"/>
        <c:crossBetween val="midCat"/>
      </c:valAx>
      <c:valAx>
        <c:axId val="15438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88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refined!$H$2</c:f>
              <c:strCache>
                <c:ptCount val="1"/>
                <c:pt idx="0">
                  <c:v>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refined!$H$3:$H$17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7-4F98-B12C-374B2F55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43823"/>
        <c:axId val="1573444239"/>
      </c:barChart>
      <c:barChart>
        <c:barDir val="col"/>
        <c:grouping val="clustered"/>
        <c:varyColors val="0"/>
        <c:ser>
          <c:idx val="1"/>
          <c:order val="1"/>
          <c:tx>
            <c:strRef>
              <c:f>refined!$I$2</c:f>
              <c:strCache>
                <c:ptCount val="1"/>
                <c:pt idx="0">
                  <c:v>PoS VOLUME (in actuals)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refined!$I$3:$I$17</c:f>
              <c:numCache>
                <c:formatCode>0</c:formatCode>
                <c:ptCount val="15"/>
                <c:pt idx="0">
                  <c:v>25608258</c:v>
                </c:pt>
                <c:pt idx="1">
                  <c:v>33372045</c:v>
                </c:pt>
                <c:pt idx="2">
                  <c:v>44192634</c:v>
                </c:pt>
                <c:pt idx="3">
                  <c:v>50915719</c:v>
                </c:pt>
                <c:pt idx="4">
                  <c:v>64787108</c:v>
                </c:pt>
                <c:pt idx="5">
                  <c:v>79440734</c:v>
                </c:pt>
                <c:pt idx="6">
                  <c:v>110762306</c:v>
                </c:pt>
                <c:pt idx="7">
                  <c:v>145006210</c:v>
                </c:pt>
                <c:pt idx="8">
                  <c:v>178415705</c:v>
                </c:pt>
                <c:pt idx="9">
                  <c:v>132321200</c:v>
                </c:pt>
                <c:pt idx="10">
                  <c:v>182048394</c:v>
                </c:pt>
                <c:pt idx="11">
                  <c:v>122069302</c:v>
                </c:pt>
                <c:pt idx="12">
                  <c:v>143420966</c:v>
                </c:pt>
                <c:pt idx="13">
                  <c:v>197093825</c:v>
                </c:pt>
                <c:pt idx="14">
                  <c:v>243275291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7-4F98-B12C-374B2F55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45487"/>
        <c:axId val="1573445071"/>
      </c:barChart>
      <c:scatterChart>
        <c:scatterStyle val="smoothMarker"/>
        <c:varyColors val="0"/>
        <c:ser>
          <c:idx val="2"/>
          <c:order val="2"/>
          <c:tx>
            <c:strRef>
              <c:f>refined!$J$2</c:f>
              <c:strCache>
                <c:ptCount val="1"/>
                <c:pt idx="0">
                  <c:v>PoS VALUE (in Rs. crores)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refined!$J$3:$J$17</c:f>
              <c:numCache>
                <c:formatCode>General</c:formatCode>
                <c:ptCount val="15"/>
                <c:pt idx="0">
                  <c:v>7471.76</c:v>
                </c:pt>
                <c:pt idx="1">
                  <c:v>9874.5600000000013</c:v>
                </c:pt>
                <c:pt idx="2">
                  <c:v>12541.013000000001</c:v>
                </c:pt>
                <c:pt idx="3">
                  <c:v>15266.798000000001</c:v>
                </c:pt>
                <c:pt idx="4">
                  <c:v>19611.195</c:v>
                </c:pt>
                <c:pt idx="5">
                  <c:v>24341.415000000001</c:v>
                </c:pt>
                <c:pt idx="6">
                  <c:v>33929.740000000005</c:v>
                </c:pt>
                <c:pt idx="7">
                  <c:v>47762.5</c:v>
                </c:pt>
                <c:pt idx="8">
                  <c:v>59616.39</c:v>
                </c:pt>
                <c:pt idx="9">
                  <c:v>45567.64</c:v>
                </c:pt>
                <c:pt idx="10">
                  <c:v>74884.67</c:v>
                </c:pt>
                <c:pt idx="11">
                  <c:v>41766.618999999999</c:v>
                </c:pt>
                <c:pt idx="12">
                  <c:v>49789.427799999998</c:v>
                </c:pt>
                <c:pt idx="13">
                  <c:v>62284.086199999998</c:v>
                </c:pt>
                <c:pt idx="14">
                  <c:v>70380.311300000001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67-4F98-B12C-374B2F55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43823"/>
        <c:axId val="1573444239"/>
      </c:scatterChart>
      <c:catAx>
        <c:axId val="157344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4239"/>
        <c:crosses val="autoZero"/>
        <c:auto val="1"/>
        <c:lblAlgn val="ctr"/>
        <c:lblOffset val="100"/>
        <c:noMultiLvlLbl val="0"/>
      </c:catAx>
      <c:valAx>
        <c:axId val="157344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3823"/>
        <c:crosses val="autoZero"/>
        <c:crossBetween val="between"/>
      </c:valAx>
      <c:valAx>
        <c:axId val="157344507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45487"/>
        <c:crosses val="max"/>
        <c:crossBetween val="between"/>
      </c:valAx>
      <c:catAx>
        <c:axId val="1573445487"/>
        <c:scaling>
          <c:orientation val="minMax"/>
        </c:scaling>
        <c:delete val="1"/>
        <c:axPos val="b"/>
        <c:majorTickMark val="out"/>
        <c:minorTickMark val="none"/>
        <c:tickLblPos val="nextTo"/>
        <c:crossAx val="1573445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6</xdr:row>
      <xdr:rowOff>125730</xdr:rowOff>
    </xdr:from>
    <xdr:to>
      <xdr:col>17</xdr:col>
      <xdr:colOff>342900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BE6B4-73D6-4A7A-BCFE-5D38D4E7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</xdr:row>
      <xdr:rowOff>11430</xdr:rowOff>
    </xdr:from>
    <xdr:to>
      <xdr:col>18</xdr:col>
      <xdr:colOff>419100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D6655-B5F5-416C-8005-3DDD92C4B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19</xdr:row>
      <xdr:rowOff>26670</xdr:rowOff>
    </xdr:from>
    <xdr:to>
      <xdr:col>18</xdr:col>
      <xdr:colOff>411480</xdr:colOff>
      <xdr:row>34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F43995-A60D-4948-8DD1-689EBA841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266700</xdr:colOff>
      <xdr:row>19</xdr:row>
      <xdr:rowOff>19050</xdr:rowOff>
    </xdr:from>
    <xdr:to>
      <xdr:col>10</xdr:col>
      <xdr:colOff>571500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23038-774A-48BC-9695-8AFADAFA2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workbookViewId="0">
      <selection activeCell="G11" sqref="G11"/>
    </sheetView>
  </sheetViews>
  <sheetFormatPr defaultRowHeight="15"/>
  <cols>
    <col min="1" max="1" width="12.42578125" customWidth="1"/>
    <col min="2" max="2" width="19.140625" customWidth="1"/>
    <col min="3" max="3" width="23.140625" customWidth="1"/>
    <col min="14" max="14" width="12.28515625" bestFit="1" customWidth="1"/>
  </cols>
  <sheetData>
    <row r="1" spans="1:14">
      <c r="A1" s="5" t="s">
        <v>0</v>
      </c>
      <c r="B1" s="5" t="s">
        <v>1</v>
      </c>
      <c r="C1" s="5" t="s">
        <v>2</v>
      </c>
    </row>
    <row r="2" spans="1:14">
      <c r="A2">
        <v>2025</v>
      </c>
      <c r="B2" s="3">
        <v>243275291</v>
      </c>
      <c r="C2" s="3">
        <v>703803113</v>
      </c>
      <c r="D2" t="s">
        <v>5</v>
      </c>
    </row>
    <row r="3" spans="1:14">
      <c r="A3">
        <v>2024</v>
      </c>
      <c r="B3" s="3">
        <v>197093825</v>
      </c>
      <c r="C3" s="4">
        <v>622840862</v>
      </c>
      <c r="M3" s="5" t="s">
        <v>0</v>
      </c>
      <c r="N3" s="5" t="s">
        <v>1</v>
      </c>
    </row>
    <row r="4" spans="1:14">
      <c r="A4">
        <v>2023</v>
      </c>
      <c r="B4" s="6">
        <v>143420966</v>
      </c>
      <c r="C4" s="2">
        <v>497894278</v>
      </c>
      <c r="M4">
        <v>2011</v>
      </c>
      <c r="N4" s="6">
        <v>25608258</v>
      </c>
    </row>
    <row r="5" spans="1:14">
      <c r="A5">
        <v>2022</v>
      </c>
      <c r="B5" s="3">
        <v>122069302</v>
      </c>
      <c r="C5" s="4">
        <v>417666190</v>
      </c>
      <c r="M5">
        <v>2012</v>
      </c>
      <c r="N5" s="8">
        <v>33372045</v>
      </c>
    </row>
    <row r="6" spans="1:14">
      <c r="A6">
        <v>2021</v>
      </c>
      <c r="B6" s="3">
        <v>182048394</v>
      </c>
      <c r="C6" s="1">
        <v>7488467</v>
      </c>
      <c r="D6" t="s">
        <v>4</v>
      </c>
      <c r="M6">
        <v>2013</v>
      </c>
      <c r="N6" s="7">
        <v>44192634</v>
      </c>
    </row>
    <row r="7" spans="1:14">
      <c r="A7">
        <v>2020</v>
      </c>
      <c r="B7" s="3">
        <v>132321200</v>
      </c>
      <c r="C7" s="1">
        <v>4556764</v>
      </c>
      <c r="M7">
        <v>2014</v>
      </c>
      <c r="N7" s="7">
        <v>50915719</v>
      </c>
    </row>
    <row r="8" spans="1:14">
      <c r="A8">
        <v>2019</v>
      </c>
      <c r="B8" s="6">
        <v>178415705</v>
      </c>
      <c r="C8" s="9">
        <v>5961639</v>
      </c>
      <c r="M8">
        <v>2015</v>
      </c>
      <c r="N8" s="7">
        <v>64787108</v>
      </c>
    </row>
    <row r="9" spans="1:14">
      <c r="A9">
        <v>2018</v>
      </c>
      <c r="B9" s="6">
        <v>145006210</v>
      </c>
      <c r="C9" s="9">
        <v>477625</v>
      </c>
      <c r="D9" t="s">
        <v>3</v>
      </c>
      <c r="M9">
        <v>2016</v>
      </c>
      <c r="N9" s="3">
        <v>79440734</v>
      </c>
    </row>
    <row r="10" spans="1:14">
      <c r="A10">
        <v>2017</v>
      </c>
      <c r="B10" s="6">
        <v>110762306</v>
      </c>
      <c r="C10" s="9">
        <v>339297.4</v>
      </c>
      <c r="M10">
        <v>2017</v>
      </c>
      <c r="N10" s="6">
        <v>110762306</v>
      </c>
    </row>
    <row r="11" spans="1:14">
      <c r="A11">
        <v>2016</v>
      </c>
      <c r="B11" s="3">
        <v>79440734</v>
      </c>
      <c r="C11" s="1">
        <v>243414.15</v>
      </c>
      <c r="M11">
        <v>2018</v>
      </c>
      <c r="N11" s="6">
        <v>145006210</v>
      </c>
    </row>
    <row r="12" spans="1:14">
      <c r="A12">
        <v>2015</v>
      </c>
      <c r="B12" s="7">
        <v>64787108</v>
      </c>
      <c r="C12" s="10">
        <v>196111.95</v>
      </c>
      <c r="M12">
        <v>2019</v>
      </c>
      <c r="N12" s="6">
        <v>178415705</v>
      </c>
    </row>
    <row r="13" spans="1:14">
      <c r="A13">
        <v>2014</v>
      </c>
      <c r="B13" s="7">
        <v>50915719</v>
      </c>
      <c r="C13" s="10">
        <v>152667.98000000001</v>
      </c>
      <c r="M13">
        <v>2020</v>
      </c>
      <c r="N13" s="3">
        <v>132321200</v>
      </c>
    </row>
    <row r="14" spans="1:14">
      <c r="A14">
        <v>2013</v>
      </c>
      <c r="B14" s="7">
        <v>44192634</v>
      </c>
      <c r="C14" s="10">
        <v>125410.13</v>
      </c>
      <c r="M14">
        <v>2021</v>
      </c>
      <c r="N14" s="3">
        <v>182048394</v>
      </c>
    </row>
    <row r="15" spans="1:14">
      <c r="A15">
        <v>2012</v>
      </c>
      <c r="B15" s="8">
        <v>33372045</v>
      </c>
      <c r="C15" s="11">
        <v>98745.600000000006</v>
      </c>
      <c r="M15">
        <v>2022</v>
      </c>
      <c r="N15" s="3">
        <v>122069302</v>
      </c>
    </row>
    <row r="16" spans="1:14">
      <c r="A16">
        <v>2011</v>
      </c>
      <c r="B16" s="6">
        <v>25608258</v>
      </c>
      <c r="C16" s="2">
        <v>74717.600000000006</v>
      </c>
      <c r="M16">
        <v>2023</v>
      </c>
      <c r="N16" s="6">
        <v>143420966</v>
      </c>
    </row>
    <row r="17" spans="1:14">
      <c r="M17">
        <v>2024</v>
      </c>
      <c r="N17" s="3">
        <v>197093825</v>
      </c>
    </row>
    <row r="18" spans="1:14">
      <c r="A18">
        <v>2025</v>
      </c>
      <c r="B18">
        <f t="shared" ref="B18:B32" si="0">B2/10000000</f>
        <v>24.3275291</v>
      </c>
      <c r="D18">
        <v>2011</v>
      </c>
      <c r="E18">
        <v>2.5608257999999999</v>
      </c>
      <c r="M18">
        <v>2025</v>
      </c>
      <c r="N18" s="3">
        <v>243275291</v>
      </c>
    </row>
    <row r="19" spans="1:14">
      <c r="A19">
        <v>2024</v>
      </c>
      <c r="B19">
        <f t="shared" si="0"/>
        <v>19.7093825</v>
      </c>
      <c r="D19">
        <v>2012</v>
      </c>
      <c r="E19">
        <v>3.3372044999999999</v>
      </c>
    </row>
    <row r="20" spans="1:14">
      <c r="A20">
        <v>2023</v>
      </c>
      <c r="B20">
        <f t="shared" si="0"/>
        <v>14.3420966</v>
      </c>
      <c r="D20">
        <v>2013</v>
      </c>
      <c r="E20">
        <v>4.4192634000000002</v>
      </c>
    </row>
    <row r="21" spans="1:14">
      <c r="A21">
        <v>2022</v>
      </c>
      <c r="B21">
        <f t="shared" si="0"/>
        <v>12.2069302</v>
      </c>
      <c r="D21">
        <v>2014</v>
      </c>
      <c r="E21">
        <v>5.0915718999999999</v>
      </c>
    </row>
    <row r="22" spans="1:14">
      <c r="A22">
        <v>2021</v>
      </c>
      <c r="B22">
        <f t="shared" si="0"/>
        <v>18.204839400000001</v>
      </c>
      <c r="D22">
        <v>2015</v>
      </c>
      <c r="E22">
        <v>6.4787108</v>
      </c>
    </row>
    <row r="23" spans="1:14">
      <c r="A23">
        <v>2020</v>
      </c>
      <c r="B23">
        <f t="shared" si="0"/>
        <v>13.23212</v>
      </c>
      <c r="D23">
        <v>2016</v>
      </c>
      <c r="E23">
        <v>7.9440733999999997</v>
      </c>
    </row>
    <row r="24" spans="1:14">
      <c r="A24">
        <v>2019</v>
      </c>
      <c r="B24">
        <f t="shared" si="0"/>
        <v>17.8415705</v>
      </c>
      <c r="D24">
        <v>2017</v>
      </c>
      <c r="E24">
        <v>11.076230600000001</v>
      </c>
    </row>
    <row r="25" spans="1:14">
      <c r="A25">
        <v>2018</v>
      </c>
      <c r="B25">
        <f t="shared" si="0"/>
        <v>14.500621000000001</v>
      </c>
      <c r="D25">
        <v>2018</v>
      </c>
      <c r="E25">
        <v>14.500621000000001</v>
      </c>
    </row>
    <row r="26" spans="1:14">
      <c r="A26">
        <v>2017</v>
      </c>
      <c r="B26">
        <f t="shared" si="0"/>
        <v>11.076230600000001</v>
      </c>
      <c r="D26">
        <v>2019</v>
      </c>
      <c r="E26">
        <v>17.8415705</v>
      </c>
    </row>
    <row r="27" spans="1:14">
      <c r="A27">
        <v>2016</v>
      </c>
      <c r="B27">
        <f t="shared" si="0"/>
        <v>7.9440733999999997</v>
      </c>
      <c r="D27">
        <v>2020</v>
      </c>
      <c r="E27">
        <v>13.23212</v>
      </c>
    </row>
    <row r="28" spans="1:14">
      <c r="A28">
        <v>2015</v>
      </c>
      <c r="B28">
        <f t="shared" si="0"/>
        <v>6.4787108</v>
      </c>
      <c r="D28">
        <v>2021</v>
      </c>
      <c r="E28">
        <v>18.204839400000001</v>
      </c>
    </row>
    <row r="29" spans="1:14">
      <c r="A29">
        <v>2014</v>
      </c>
      <c r="B29">
        <f t="shared" si="0"/>
        <v>5.0915718999999999</v>
      </c>
      <c r="D29">
        <v>2022</v>
      </c>
      <c r="E29">
        <v>12.2069302</v>
      </c>
    </row>
    <row r="30" spans="1:14">
      <c r="A30">
        <v>2013</v>
      </c>
      <c r="B30">
        <f t="shared" si="0"/>
        <v>4.4192634000000002</v>
      </c>
      <c r="D30">
        <v>2023</v>
      </c>
      <c r="E30">
        <v>14.3420966</v>
      </c>
    </row>
    <row r="31" spans="1:14">
      <c r="A31">
        <v>2012</v>
      </c>
      <c r="B31">
        <f t="shared" si="0"/>
        <v>3.3372044999999999</v>
      </c>
      <c r="D31">
        <v>2024</v>
      </c>
      <c r="E31">
        <v>19.7093825</v>
      </c>
    </row>
    <row r="32" spans="1:14">
      <c r="A32">
        <v>2011</v>
      </c>
      <c r="B32">
        <f t="shared" si="0"/>
        <v>2.5608257999999999</v>
      </c>
      <c r="D32">
        <v>2025</v>
      </c>
      <c r="E32">
        <v>24.3275291</v>
      </c>
    </row>
  </sheetData>
  <sortState ref="D18:E32">
    <sortCondition ref="D18:D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5A6A-92F7-4DAC-950E-98A8C8DE3F59}">
  <dimension ref="A1:J34"/>
  <sheetViews>
    <sheetView tabSelected="1" topLeftCell="B1" workbookViewId="0">
      <selection activeCell="L2" sqref="L2"/>
    </sheetView>
  </sheetViews>
  <sheetFormatPr defaultColWidth="8.85546875" defaultRowHeight="12.75"/>
  <cols>
    <col min="1" max="1" width="8.85546875" style="13"/>
    <col min="2" max="2" width="12.5703125" style="13" bestFit="1" customWidth="1"/>
    <col min="3" max="3" width="22.42578125" style="13" customWidth="1"/>
    <col min="4" max="4" width="16.7109375" style="13" bestFit="1" customWidth="1"/>
    <col min="5" max="7" width="8.85546875" style="13"/>
    <col min="8" max="8" width="8.5703125" style="13" customWidth="1"/>
    <col min="9" max="9" width="20.85546875" style="13" bestFit="1" customWidth="1"/>
    <col min="10" max="10" width="15" style="13" customWidth="1"/>
    <col min="11" max="16384" width="8.85546875" style="13"/>
  </cols>
  <sheetData>
    <row r="1" spans="1:10" ht="13.5" thickBot="1"/>
    <row r="2" spans="1:10" ht="25.5">
      <c r="A2" s="12" t="s">
        <v>0</v>
      </c>
      <c r="B2" s="12" t="s">
        <v>1</v>
      </c>
      <c r="C2" s="12" t="s">
        <v>2</v>
      </c>
      <c r="H2" s="28" t="s">
        <v>0</v>
      </c>
      <c r="I2" s="29" t="s">
        <v>7</v>
      </c>
      <c r="J2" s="30" t="s">
        <v>6</v>
      </c>
    </row>
    <row r="3" spans="1:10">
      <c r="A3" s="13">
        <v>2025</v>
      </c>
      <c r="B3" s="3">
        <v>243275291</v>
      </c>
      <c r="C3" s="14">
        <v>703803113</v>
      </c>
      <c r="D3" s="13">
        <f>C3/10000</f>
        <v>70380.311300000001</v>
      </c>
      <c r="H3" s="31">
        <v>2011</v>
      </c>
      <c r="I3" s="21">
        <v>25608258</v>
      </c>
      <c r="J3" s="22">
        <v>7471.76</v>
      </c>
    </row>
    <row r="4" spans="1:10">
      <c r="A4" s="13">
        <v>2024</v>
      </c>
      <c r="B4" s="3">
        <v>197093825</v>
      </c>
      <c r="C4" s="14">
        <v>622840862</v>
      </c>
      <c r="D4" s="13">
        <f t="shared" ref="D4:D6" si="0">C4/10000</f>
        <v>62284.086199999998</v>
      </c>
      <c r="H4" s="31">
        <v>2012</v>
      </c>
      <c r="I4" s="23">
        <v>33372045</v>
      </c>
      <c r="J4" s="22">
        <v>9874.5600000000013</v>
      </c>
    </row>
    <row r="5" spans="1:10">
      <c r="A5" s="13">
        <v>2023</v>
      </c>
      <c r="B5" s="6">
        <v>143420966</v>
      </c>
      <c r="C5" s="14">
        <v>497894278</v>
      </c>
      <c r="D5" s="13">
        <f t="shared" si="0"/>
        <v>49789.427799999998</v>
      </c>
      <c r="H5" s="31">
        <v>2013</v>
      </c>
      <c r="I5" s="24">
        <v>44192634</v>
      </c>
      <c r="J5" s="22">
        <v>12541.013000000001</v>
      </c>
    </row>
    <row r="6" spans="1:10">
      <c r="A6" s="13">
        <v>2022</v>
      </c>
      <c r="B6" s="3">
        <v>122069302</v>
      </c>
      <c r="C6" s="14">
        <v>417666190</v>
      </c>
      <c r="D6" s="13">
        <f t="shared" si="0"/>
        <v>41766.618999999999</v>
      </c>
      <c r="H6" s="31">
        <v>2014</v>
      </c>
      <c r="I6" s="24">
        <v>50915719</v>
      </c>
      <c r="J6" s="22">
        <v>15266.798000000001</v>
      </c>
    </row>
    <row r="7" spans="1:10">
      <c r="A7" s="13">
        <v>2021</v>
      </c>
      <c r="B7" s="3">
        <v>182048394</v>
      </c>
      <c r="C7" s="15">
        <v>7488467</v>
      </c>
      <c r="D7" s="13">
        <f>C7/100</f>
        <v>74884.67</v>
      </c>
      <c r="H7" s="31">
        <v>2015</v>
      </c>
      <c r="I7" s="24">
        <v>64787108</v>
      </c>
      <c r="J7" s="22">
        <v>19611.195</v>
      </c>
    </row>
    <row r="8" spans="1:10">
      <c r="A8" s="13">
        <v>2020</v>
      </c>
      <c r="B8" s="3">
        <v>132321200</v>
      </c>
      <c r="C8" s="15">
        <v>4556764</v>
      </c>
      <c r="D8" s="13">
        <f t="shared" ref="D8:D9" si="1">C8/100</f>
        <v>45567.64</v>
      </c>
      <c r="H8" s="31">
        <v>2016</v>
      </c>
      <c r="I8" s="25">
        <v>79440734</v>
      </c>
      <c r="J8" s="22">
        <v>24341.415000000001</v>
      </c>
    </row>
    <row r="9" spans="1:10">
      <c r="A9" s="13">
        <v>2019</v>
      </c>
      <c r="B9" s="6">
        <v>178415705</v>
      </c>
      <c r="C9" s="15">
        <v>5961639</v>
      </c>
      <c r="D9" s="13">
        <f t="shared" si="1"/>
        <v>59616.39</v>
      </c>
      <c r="H9" s="31">
        <v>2017</v>
      </c>
      <c r="I9" s="21">
        <v>110762306</v>
      </c>
      <c r="J9" s="22">
        <v>33929.740000000005</v>
      </c>
    </row>
    <row r="10" spans="1:10">
      <c r="A10" s="13">
        <v>2018</v>
      </c>
      <c r="B10" s="6">
        <v>145006210</v>
      </c>
      <c r="C10" s="16">
        <v>477625</v>
      </c>
      <c r="D10" s="20">
        <f>C10/10</f>
        <v>47762.5</v>
      </c>
      <c r="H10" s="31">
        <v>2018</v>
      </c>
      <c r="I10" s="21">
        <v>145006210</v>
      </c>
      <c r="J10" s="22">
        <v>47762.5</v>
      </c>
    </row>
    <row r="11" spans="1:10">
      <c r="A11" s="13">
        <v>2017</v>
      </c>
      <c r="B11" s="6">
        <v>110762306</v>
      </c>
      <c r="C11" s="16">
        <v>339297.4</v>
      </c>
      <c r="D11" s="20">
        <f t="shared" ref="D11:D17" si="2">C11/10</f>
        <v>33929.740000000005</v>
      </c>
      <c r="H11" s="31">
        <v>2019</v>
      </c>
      <c r="I11" s="21">
        <v>178415705</v>
      </c>
      <c r="J11" s="22">
        <v>59616.39</v>
      </c>
    </row>
    <row r="12" spans="1:10">
      <c r="A12" s="13">
        <v>2016</v>
      </c>
      <c r="B12" s="3">
        <v>79440734</v>
      </c>
      <c r="C12" s="16">
        <v>243414.15</v>
      </c>
      <c r="D12" s="20">
        <f t="shared" si="2"/>
        <v>24341.415000000001</v>
      </c>
      <c r="H12" s="31">
        <v>2020</v>
      </c>
      <c r="I12" s="25">
        <v>132321200</v>
      </c>
      <c r="J12" s="22">
        <v>45567.64</v>
      </c>
    </row>
    <row r="13" spans="1:10">
      <c r="A13" s="13">
        <v>2015</v>
      </c>
      <c r="B13" s="7">
        <v>64787108</v>
      </c>
      <c r="C13" s="17">
        <v>196111.95</v>
      </c>
      <c r="D13" s="20">
        <f t="shared" si="2"/>
        <v>19611.195</v>
      </c>
      <c r="H13" s="31">
        <v>2021</v>
      </c>
      <c r="I13" s="25">
        <v>182048394</v>
      </c>
      <c r="J13" s="22">
        <v>74884.67</v>
      </c>
    </row>
    <row r="14" spans="1:10">
      <c r="A14" s="13">
        <v>2014</v>
      </c>
      <c r="B14" s="7">
        <v>50915719</v>
      </c>
      <c r="C14" s="17">
        <v>152667.98000000001</v>
      </c>
      <c r="D14" s="20">
        <f t="shared" si="2"/>
        <v>15266.798000000001</v>
      </c>
      <c r="H14" s="31">
        <v>2022</v>
      </c>
      <c r="I14" s="25">
        <v>122069302</v>
      </c>
      <c r="J14" s="22">
        <v>41766.618999999999</v>
      </c>
    </row>
    <row r="15" spans="1:10">
      <c r="A15" s="13">
        <v>2013</v>
      </c>
      <c r="B15" s="7">
        <v>44192634</v>
      </c>
      <c r="C15" s="17">
        <v>125410.13</v>
      </c>
      <c r="D15" s="20">
        <f t="shared" si="2"/>
        <v>12541.013000000001</v>
      </c>
      <c r="H15" s="31">
        <v>2023</v>
      </c>
      <c r="I15" s="21">
        <v>143420966</v>
      </c>
      <c r="J15" s="22">
        <v>49789.427799999998</v>
      </c>
    </row>
    <row r="16" spans="1:10">
      <c r="A16" s="13">
        <v>2012</v>
      </c>
      <c r="B16" s="8">
        <v>33372045</v>
      </c>
      <c r="C16" s="18">
        <v>98745.600000000006</v>
      </c>
      <c r="D16" s="20">
        <f t="shared" si="2"/>
        <v>9874.5600000000013</v>
      </c>
      <c r="H16" s="31">
        <v>2024</v>
      </c>
      <c r="I16" s="25">
        <v>197093825</v>
      </c>
      <c r="J16" s="22">
        <v>62284.086199999998</v>
      </c>
    </row>
    <row r="17" spans="1:10" ht="13.5" thickBot="1">
      <c r="A17" s="13">
        <v>2011</v>
      </c>
      <c r="B17" s="6">
        <v>25608258</v>
      </c>
      <c r="C17" s="19">
        <v>74717.600000000006</v>
      </c>
      <c r="D17" s="20">
        <f t="shared" si="2"/>
        <v>7471.76</v>
      </c>
      <c r="H17" s="32">
        <v>2025</v>
      </c>
      <c r="I17" s="26">
        <v>243275291</v>
      </c>
      <c r="J17" s="27">
        <v>70380.311300000001</v>
      </c>
    </row>
    <row r="19" spans="1:10">
      <c r="A19" s="12" t="s">
        <v>0</v>
      </c>
      <c r="B19" s="12" t="s">
        <v>1</v>
      </c>
      <c r="C19" s="12" t="s">
        <v>2</v>
      </c>
      <c r="D19" s="12" t="s">
        <v>2</v>
      </c>
    </row>
    <row r="20" spans="1:10">
      <c r="A20" s="13">
        <v>2011</v>
      </c>
      <c r="B20" s="6">
        <v>25608258</v>
      </c>
      <c r="C20" s="19">
        <v>74717.600000000006</v>
      </c>
      <c r="D20" s="20">
        <f t="shared" ref="D20:D27" si="3">C20/10</f>
        <v>7471.76</v>
      </c>
    </row>
    <row r="21" spans="1:10">
      <c r="A21" s="13">
        <v>2012</v>
      </c>
      <c r="B21" s="8">
        <v>33372045</v>
      </c>
      <c r="C21" s="18">
        <v>98745.600000000006</v>
      </c>
      <c r="D21" s="20">
        <f t="shared" si="3"/>
        <v>9874.5600000000013</v>
      </c>
    </row>
    <row r="22" spans="1:10">
      <c r="A22" s="13">
        <v>2013</v>
      </c>
      <c r="B22" s="7">
        <v>44192634</v>
      </c>
      <c r="C22" s="17">
        <v>125410.13</v>
      </c>
      <c r="D22" s="20">
        <f t="shared" si="3"/>
        <v>12541.013000000001</v>
      </c>
    </row>
    <row r="23" spans="1:10">
      <c r="A23" s="13">
        <v>2014</v>
      </c>
      <c r="B23" s="7">
        <v>50915719</v>
      </c>
      <c r="C23" s="17">
        <v>152667.98000000001</v>
      </c>
      <c r="D23" s="20">
        <f t="shared" si="3"/>
        <v>15266.798000000001</v>
      </c>
    </row>
    <row r="24" spans="1:10">
      <c r="A24" s="13">
        <v>2015</v>
      </c>
      <c r="B24" s="7">
        <v>64787108</v>
      </c>
      <c r="C24" s="17">
        <v>196111.95</v>
      </c>
      <c r="D24" s="20">
        <f t="shared" si="3"/>
        <v>19611.195</v>
      </c>
    </row>
    <row r="25" spans="1:10">
      <c r="A25" s="13">
        <v>2016</v>
      </c>
      <c r="B25" s="3">
        <v>79440734</v>
      </c>
      <c r="C25" s="16">
        <v>243414.15</v>
      </c>
      <c r="D25" s="20">
        <f t="shared" si="3"/>
        <v>24341.415000000001</v>
      </c>
    </row>
    <row r="26" spans="1:10">
      <c r="A26" s="13">
        <v>2017</v>
      </c>
      <c r="B26" s="6">
        <v>110762306</v>
      </c>
      <c r="C26" s="16">
        <v>339297.4</v>
      </c>
      <c r="D26" s="20">
        <f t="shared" si="3"/>
        <v>33929.740000000005</v>
      </c>
    </row>
    <row r="27" spans="1:10">
      <c r="A27" s="13">
        <v>2018</v>
      </c>
      <c r="B27" s="6">
        <v>145006210</v>
      </c>
      <c r="C27" s="16">
        <v>477625</v>
      </c>
      <c r="D27" s="20">
        <f t="shared" si="3"/>
        <v>47762.5</v>
      </c>
    </row>
    <row r="28" spans="1:10">
      <c r="A28" s="13">
        <v>2019</v>
      </c>
      <c r="B28" s="6">
        <v>178415705</v>
      </c>
      <c r="C28" s="15">
        <v>5961639</v>
      </c>
      <c r="D28" s="13">
        <f>C28/100</f>
        <v>59616.39</v>
      </c>
    </row>
    <row r="29" spans="1:10">
      <c r="A29" s="13">
        <v>2020</v>
      </c>
      <c r="B29" s="3">
        <v>132321200</v>
      </c>
      <c r="C29" s="15">
        <v>4556764</v>
      </c>
      <c r="D29" s="13">
        <f>C29/100</f>
        <v>45567.64</v>
      </c>
    </row>
    <row r="30" spans="1:10">
      <c r="A30" s="13">
        <v>2021</v>
      </c>
      <c r="B30" s="3">
        <v>182048394</v>
      </c>
      <c r="C30" s="15">
        <v>7488467</v>
      </c>
      <c r="D30" s="13">
        <f>C30/100</f>
        <v>74884.67</v>
      </c>
    </row>
    <row r="31" spans="1:10">
      <c r="A31" s="13">
        <v>2022</v>
      </c>
      <c r="B31" s="3">
        <v>122069302</v>
      </c>
      <c r="C31" s="14">
        <v>417666190</v>
      </c>
      <c r="D31" s="13">
        <f>C31/10000</f>
        <v>41766.618999999999</v>
      </c>
    </row>
    <row r="32" spans="1:10">
      <c r="A32" s="13">
        <v>2023</v>
      </c>
      <c r="B32" s="6">
        <v>143420966</v>
      </c>
      <c r="C32" s="14">
        <v>497894278</v>
      </c>
      <c r="D32" s="13">
        <f>C32/10000</f>
        <v>49789.427799999998</v>
      </c>
    </row>
    <row r="33" spans="1:4">
      <c r="A33" s="13">
        <v>2024</v>
      </c>
      <c r="B33" s="3">
        <v>197093825</v>
      </c>
      <c r="C33" s="14">
        <v>622840862</v>
      </c>
      <c r="D33" s="13">
        <f>C33/10000</f>
        <v>62284.086199999998</v>
      </c>
    </row>
    <row r="34" spans="1:4">
      <c r="A34" s="13">
        <v>2025</v>
      </c>
      <c r="B34" s="3">
        <v>243275291</v>
      </c>
      <c r="C34" s="14">
        <v>703803113</v>
      </c>
      <c r="D34" s="13">
        <f>C34/10000</f>
        <v>70380.311300000001</v>
      </c>
    </row>
  </sheetData>
  <sortState ref="A20:D34">
    <sortCondition ref="A20:A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yoy cc data</vt:lpstr>
      <vt:lpstr>refined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sanway_local</dc:creator>
  <cp:lastModifiedBy>ARYAA BANERJEE</cp:lastModifiedBy>
  <dcterms:created xsi:type="dcterms:W3CDTF">2015-06-05T18:17:20Z</dcterms:created>
  <dcterms:modified xsi:type="dcterms:W3CDTF">2025-10-26T06:43:24Z</dcterms:modified>
</cp:coreProperties>
</file>